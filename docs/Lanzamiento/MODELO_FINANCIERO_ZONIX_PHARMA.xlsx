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ado de la inversión." sheetId="1" state="visible" r:id="rId1"/>
    <sheet name="Hoja3" sheetId="2" state="visible" r:id="rId2"/>
    <sheet name="Hoja1" sheetId="3" state="visible" r:id="rId3"/>
    <sheet name="Hoja2" sheetId="4" state="visible" r:id="rId4"/>
    <sheet name="ESTA SI VALE" sheetId="5" state="visible" r:id="rId5"/>
    <sheet name="Año 1" sheetId="6" state="visible" r:id="rId6"/>
    <sheet name="Año 2" sheetId="7" state="visible" r:id="rId7"/>
    <sheet name="Año 3" sheetId="8" state="visible" r:id="rId8"/>
    <sheet name="Año 4" sheetId="9" state="visible" r:id="rId9"/>
    <sheet name="Año 5" sheetId="10" state="visible" r:id="rId10"/>
    <sheet name="Flujo Total" sheetId="11" state="visible" r:id="rId11"/>
    <sheet name="Tasa Crecimien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"/>
  </numFmts>
  <fonts count="8">
    <font>
      <name val="Calibri"/>
      <family val="2"/>
      <color theme="1"/>
      <sz val="11"/>
      <scheme val="minor"/>
    </font>
    <font>
      <b val="1"/>
      <color rgb="001E2A5A"/>
      <sz val="12"/>
    </font>
    <font>
      <b val="1"/>
      <sz val="10"/>
    </font>
    <font>
      <b val="1"/>
      <color rgb="00FFFFFF"/>
      <sz val="11"/>
    </font>
    <font>
      <b val="1"/>
      <color rgb="00FFFFFF"/>
      <sz val="10"/>
    </font>
    <font>
      <i val="1"/>
      <color rgb="00444444"/>
      <sz val="9"/>
    </font>
    <font>
      <b val="1"/>
      <color rgb="00444444"/>
      <sz val="1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E2A5A"/>
      </patternFill>
    </fill>
    <fill>
      <patternFill patternType="solid">
        <fgColor rgb="000F4C5C"/>
      </patternFill>
    </fill>
    <fill>
      <patternFill patternType="solid">
        <fgColor rgb="00D9D9D9"/>
      </patternFill>
    </fill>
    <fill>
      <patternFill patternType="solid">
        <fgColor rgb="00E8EE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double">
        <color rgb="001E2A5A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3" borderId="1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0" fontId="0" fillId="0" borderId="1" pivotButton="0" quotePrefix="0" xfId="0"/>
    <xf numFmtId="10" fontId="2" fillId="0" borderId="1" pivotButton="0" quotePrefix="0" xfId="0"/>
    <xf numFmtId="10" fontId="5" fillId="0" borderId="1" pivotButton="0" quotePrefix="0" xfId="0"/>
    <xf numFmtId="0" fontId="2" fillId="5" borderId="1" pivotButton="0" quotePrefix="0" xfId="0"/>
    <xf numFmtId="0" fontId="5" fillId="4" borderId="0" applyAlignment="1" pivotButton="0" quotePrefix="0" xfId="0">
      <alignment wrapText="1"/>
    </xf>
    <xf numFmtId="0" fontId="5" fillId="0" borderId="1" pivotButton="0" quotePrefix="0" xfId="0"/>
    <xf numFmtId="0" fontId="5" fillId="4" borderId="1" pivotButton="0" quotePrefix="0" xfId="0"/>
    <xf numFmtId="0" fontId="1" fillId="0" borderId="1" pivotButton="0" quotePrefix="0" xfId="0"/>
    <xf numFmtId="164" fontId="2" fillId="0" borderId="2" pivotButton="0" quotePrefix="0" xfId="0"/>
    <xf numFmtId="0" fontId="2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2" fillId="4" borderId="0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0" fillId="4" borderId="0" pivotButton="0" quotePrefix="0" xfId="0"/>
    <xf numFmtId="0" fontId="7" fillId="0" borderId="1" applyAlignment="1" pivotButton="0" quotePrefix="0" xfId="0">
      <alignment wrapText="1"/>
    </xf>
    <xf numFmtId="0" fontId="5" fillId="0" borderId="0" pivotButton="0" quotePrefix="0" xfId="0"/>
    <xf numFmtId="164" fontId="2" fillId="4" borderId="1" pivotButton="0" quotePrefix="0" xfId="0"/>
    <xf numFmtId="0" fontId="2" fillId="0" borderId="2" pivotButton="0" quotePrefix="0" xfId="0"/>
    <xf numFmtId="0" fontId="2" fillId="5" borderId="2" pivotButton="0" quotePrefix="0" xfId="0"/>
    <xf numFmtId="164" fontId="2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10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3" max="3"/>
    <col width="14" customWidth="1" min="7" max="7"/>
    <col width="12" customWidth="1" min="8" max="8"/>
    <col width="28" customWidth="1" min="9" max="9"/>
    <col width="28" customWidth="1" min="11" max="11"/>
    <col width="14" customWidth="1" min="13" max="13"/>
  </cols>
  <sheetData>
    <row r="1"/>
    <row r="2"/>
    <row r="3"/>
    <row r="4">
      <c r="C4" s="1" t="inlineStr">
        <is>
          <t>Zonix Pharma — Marketplace farmacéutico VE (piloto Valencia) — v3.8.2 bottom-up</t>
        </is>
      </c>
    </row>
    <row r="5"/>
    <row r="6"/>
    <row r="7"/>
    <row r="8">
      <c r="C8" s="2" t="inlineStr">
        <is>
          <t>Descripción</t>
        </is>
      </c>
      <c r="E8" s="2" t="n"/>
      <c r="F8" s="2" t="n"/>
      <c r="G8" s="2" t="n"/>
      <c r="H8" s="2" t="n"/>
      <c r="I8" s="2" t="n"/>
    </row>
    <row r="9">
      <c r="E9" s="3" t="inlineStr">
        <is>
          <t>Cant.</t>
        </is>
      </c>
    </row>
    <row r="10">
      <c r="C10" s="4" t="inlineStr">
        <is>
          <t>CONSTITUCIÓN DE LA EMPRESA (Zonix Pharma C.A.)</t>
        </is>
      </c>
      <c r="F10" s="3" t="inlineStr">
        <is>
          <t>USD/u</t>
        </is>
      </c>
      <c r="K10" s="5" t="inlineStr">
        <is>
          <t>RESUMEN INVERSIÓN LEAN (v3.8.2)</t>
        </is>
      </c>
    </row>
    <row r="11">
      <c r="C11" s="6" t="inlineStr">
        <is>
          <t>Registro Mercantil + acta constitutiva</t>
        </is>
      </c>
      <c r="E11" s="7" t="n">
        <v>1</v>
      </c>
      <c r="F11" s="7" t="n">
        <v>1200</v>
      </c>
      <c r="G11" s="8">
        <f>E11*F11</f>
        <v/>
      </c>
      <c r="H11" s="9">
        <f>IF(G11=0,"",G11/G109)</f>
        <v/>
      </c>
      <c r="K11" s="6" t="inlineStr">
        <is>
          <t>One-shots (legal+intro+HQ)</t>
        </is>
      </c>
      <c r="M11" s="7">
        <f>G76</f>
        <v/>
      </c>
    </row>
    <row r="12">
      <c r="C12" s="6" t="inlineStr">
        <is>
          <t>SENIAT — inscripción / trámites RIF</t>
        </is>
      </c>
      <c r="E12" s="7" t="n">
        <v>1</v>
      </c>
      <c r="F12" s="7" t="n">
        <v>600</v>
      </c>
      <c r="G12" s="7">
        <f>E12*F12</f>
        <v/>
      </c>
      <c r="H12" s="10">
        <f>IF(G12=0,"",G12/G109)</f>
        <v/>
      </c>
      <c r="K12" s="6" t="inlineStr">
        <is>
          <t>Fase 0 operativa (sin one-shots)</t>
        </is>
      </c>
      <c r="M12" s="7">
        <f>G78</f>
        <v/>
      </c>
    </row>
    <row r="13">
      <c r="C13" s="6" t="inlineStr">
        <is>
          <t>Licencia / permisos municipales HQ</t>
        </is>
      </c>
      <c r="E13" s="7" t="n">
        <v>1</v>
      </c>
      <c r="F13" s="7" t="n">
        <v>1500</v>
      </c>
      <c r="G13" s="7">
        <f>E13*F13</f>
        <v/>
      </c>
      <c r="H13" s="9">
        <f>IF(G13=0,"",G13/G109)</f>
        <v/>
      </c>
      <c r="I13" s="3" t="inlineStr">
        <is>
          <t>Notas / En ESTA</t>
        </is>
      </c>
      <c r="K13" s="6" t="inlineStr">
        <is>
          <t>Fase 0 total (T+0→Day-D)</t>
        </is>
      </c>
      <c r="M13" s="7">
        <f>G72</f>
        <v/>
      </c>
    </row>
    <row r="14">
      <c r="C14" s="6" t="inlineStr">
        <is>
          <t>Permiso bomberos (local operativo)</t>
        </is>
      </c>
      <c r="E14" s="7" t="n">
        <v>1</v>
      </c>
      <c r="F14" s="7" t="n">
        <v>1100</v>
      </c>
      <c r="G14" s="7">
        <f>E14*F14</f>
        <v/>
      </c>
      <c r="H14" s="9">
        <f>IF(G14=0,"",G14/G109)</f>
        <v/>
      </c>
      <c r="K14" s="6" t="inlineStr">
        <is>
          <t>Caja al Day-D (inicio M1)</t>
        </is>
      </c>
      <c r="M14" s="7">
        <f>G74</f>
        <v/>
      </c>
    </row>
    <row r="15">
      <c r="C15" s="6" t="inlineStr">
        <is>
          <t>Apertura cuenta bancaria empresa</t>
        </is>
      </c>
      <c r="E15" s="7" t="n">
        <v>1</v>
      </c>
      <c r="F15" s="7" t="n">
        <v>100</v>
      </c>
      <c r="G15" s="7">
        <f>E15*F15</f>
        <v/>
      </c>
      <c r="H15" s="9">
        <f>IF(G15=0,"",G15/G109)</f>
        <v/>
      </c>
      <c r="K15" s="6" t="inlineStr">
        <is>
          <t>Burn 12 meses (M1–M12)</t>
        </is>
      </c>
      <c r="M15" s="7">
        <f>G107</f>
        <v/>
      </c>
    </row>
    <row r="16">
      <c r="C16" s="6" t="inlineStr">
        <is>
          <t>Sello digital + factura digital SENIAT</t>
        </is>
      </c>
      <c r="E16" s="7" t="n">
        <v>1</v>
      </c>
      <c r="F16" s="7" t="n">
        <v>200</v>
      </c>
      <c r="G16" s="7">
        <f>E16*F16</f>
        <v/>
      </c>
      <c r="H16" s="9">
        <f>IF(G16=0,"",G16/G109)</f>
        <v/>
      </c>
      <c r="K16" s="6" t="inlineStr">
        <is>
          <t>Reserva caja</t>
        </is>
      </c>
      <c r="M16" s="7">
        <f>G108</f>
        <v/>
      </c>
    </row>
    <row r="17">
      <c r="C17" s="6" t="inlineStr">
        <is>
          <t>Registro marca SAPI (paralelo)</t>
        </is>
      </c>
      <c r="E17" s="7" t="n">
        <v>1</v>
      </c>
      <c r="F17" s="7" t="n">
        <v>350</v>
      </c>
      <c r="G17" s="7">
        <f>E17*F17</f>
        <v/>
      </c>
      <c r="H17" s="9">
        <f>IF(G17=0,"",G17/G109)</f>
        <v/>
      </c>
      <c r="K17" s="6" t="inlineStr">
        <is>
          <t>TOTAL capital SAFE</t>
        </is>
      </c>
      <c r="M17" s="8">
        <f>G109</f>
        <v/>
      </c>
    </row>
    <row r="18">
      <c r="C18" s="3" t="inlineStr">
        <is>
          <t>Subtotal constitución empresa</t>
        </is>
      </c>
      <c r="G18" s="7">
        <f>SUM(G11:G17)</f>
        <v/>
      </c>
      <c r="H18" s="9">
        <f>IF(G18=0,"",G18/G109)</f>
        <v/>
      </c>
      <c r="K18" s="6" t="inlineStr">
        <is>
          <t>SAFE cap ref. → ~18.66% equity</t>
        </is>
      </c>
      <c r="M18" s="11">
        <f>M17/600000</f>
        <v/>
      </c>
    </row>
    <row r="19"/>
    <row r="20">
      <c r="C20" s="6" t="inlineStr">
        <is>
          <t>Costos legales de constitución C.A. + local HQ (referencia real VE). No incluye permisos de farmacia aliada ni operación de medicamentos. Pack documental conservador 1.150–1.450 en ESTRUCTURA_LEGAL §1.4 — validar con abogado [PENDIENTE].</t>
        </is>
      </c>
      <c r="K20" s="12" t="inlineStr">
        <is>
          <t>Ref. mensual post-Day-D</t>
        </is>
      </c>
    </row>
    <row r="21">
      <c r="K21" s="6" t="inlineStr">
        <is>
          <t>MO operativa (subtotal)</t>
        </is>
      </c>
      <c r="M21" s="7">
        <f>G90</f>
        <v/>
      </c>
    </row>
    <row r="22">
      <c r="C22" s="6" t="inlineStr">
        <is>
          <t>MATERIA PRIMA: No aplica — ZonixPharma es servicio tecnológico (marketplace). Equivalente digital: SMS OTP, Pusher, Maps, hosting → fila «Hosting + SaaS + Firebase OTP» en ESTA SI VALE (~154 USD/mes) + contingencia en burn.</t>
        </is>
      </c>
      <c r="K22" s="6" t="inlineStr">
        <is>
          <t>Marketing mensual (subtotal)</t>
        </is>
      </c>
      <c r="M22" s="7">
        <f>G103</f>
        <v/>
      </c>
    </row>
    <row r="23">
      <c r="K23" s="13" t="inlineStr">
        <is>
          <t>Incluido en burn M1–M12. No sumar a one-shots ni duplicar MO Fase 0. Unit economics → pestaña ESTA SI VALE.</t>
        </is>
      </c>
    </row>
    <row r="24">
      <c r="C24" s="4" t="inlineStr">
        <is>
          <t>INTRODUCCIÓN AL MERCADO / DEMO — Lean (ancla Fase 0)</t>
        </is>
      </c>
    </row>
    <row r="25">
      <c r="C25" s="6" t="inlineStr">
        <is>
          <t>Website landing + dominio</t>
        </is>
      </c>
      <c r="E25" s="7" t="n">
        <v>1</v>
      </c>
      <c r="F25" s="7" t="n">
        <v>800</v>
      </c>
      <c r="G25" s="7">
        <f>E25*F25</f>
        <v/>
      </c>
      <c r="H25" s="9">
        <f>IF(G25=0,"",G25/G109)</f>
        <v/>
      </c>
    </row>
    <row r="26">
      <c r="C26" s="6" t="inlineStr">
        <is>
          <t>Brochures y material impreso B2B</t>
        </is>
      </c>
      <c r="E26" s="7" t="n">
        <v>1</v>
      </c>
      <c r="F26" s="7" t="n">
        <v>400</v>
      </c>
      <c r="G26" s="7">
        <f>E26*F26</f>
        <v/>
      </c>
      <c r="H26" s="9">
        <f>IF(G26=0,"",G26/G109)</f>
        <v/>
      </c>
    </row>
    <row r="27">
      <c r="C27" s="6" t="inlineStr">
        <is>
          <t>Tablets demo farmacia</t>
        </is>
      </c>
      <c r="E27" s="7" t="n">
        <v>2</v>
      </c>
      <c r="F27" s="7" t="n">
        <v>350</v>
      </c>
      <c r="G27" s="7">
        <f>E27*F27</f>
        <v/>
      </c>
      <c r="H27" s="9">
        <f>IF(G27=0,"",G27/G109)</f>
        <v/>
      </c>
    </row>
    <row r="28">
      <c r="C28" s="6" t="inlineStr">
        <is>
          <t>Visitas comerciales pre-Day-D</t>
        </is>
      </c>
      <c r="E28" s="7" t="n">
        <v>1</v>
      </c>
      <c r="F28" s="7" t="n">
        <v>500</v>
      </c>
      <c r="G28" s="7">
        <f>E28*F28</f>
        <v/>
      </c>
      <c r="H28" s="9">
        <f>IF(G28=0,"",G28/G109)</f>
        <v/>
      </c>
    </row>
    <row r="29">
      <c r="C29" s="6" t="inlineStr">
        <is>
          <t>Reservas operativas primer mes</t>
        </is>
      </c>
      <c r="E29" s="7" t="n">
        <v>1</v>
      </c>
      <c r="F29" s="7" t="n">
        <v>608</v>
      </c>
      <c r="G29" s="7">
        <f>E29*F29</f>
        <v/>
      </c>
      <c r="H29" s="9">
        <f>IF(G29=0,"",G29/G109)</f>
        <v/>
      </c>
    </row>
    <row r="30">
      <c r="C30" s="6" t="inlineStr">
        <is>
          <t>Video pitch B2B farmacia (one-shot)</t>
        </is>
      </c>
      <c r="E30" s="7" t="n">
        <v>1</v>
      </c>
      <c r="F30" s="7" t="n">
        <v>800</v>
      </c>
      <c r="G30" s="7">
        <f>E30*F30</f>
        <v/>
      </c>
      <c r="H30" s="9">
        <f>IF(G30=0,"",G30/G109)</f>
        <v/>
      </c>
    </row>
    <row r="31">
      <c r="C31" s="3" t="inlineStr">
        <is>
          <t>Subtotal intro mercado Lean</t>
        </is>
      </c>
      <c r="G31" s="7">
        <f>SUM(G25:G30)</f>
        <v/>
      </c>
      <c r="H31" s="9">
        <f>IF(G31=0,"",G31/G109)</f>
        <v/>
      </c>
    </row>
    <row r="32"/>
    <row r="33">
      <c r="C33" s="4" t="inlineStr">
        <is>
          <t>MARKETING PRE-LANZAMIENTO — Lean (3 meses, ancla)</t>
        </is>
      </c>
    </row>
    <row r="34">
      <c r="C34" s="6" t="inlineStr">
        <is>
          <t>Meta Ads pre-Day-D</t>
        </is>
      </c>
      <c r="E34" s="7" t="n">
        <v>3</v>
      </c>
      <c r="F34" s="7" t="n">
        <v>400</v>
      </c>
      <c r="G34" s="7">
        <f>E34*F34</f>
        <v/>
      </c>
      <c r="H34" s="9">
        <f>IF(G34=0,"",G34/G109)</f>
        <v/>
      </c>
    </row>
    <row r="35">
      <c r="C35" s="6" t="inlineStr">
        <is>
          <t>Material POP / señalética</t>
        </is>
      </c>
      <c r="E35" s="7" t="n">
        <v>1</v>
      </c>
      <c r="F35" s="7" t="n">
        <v>600</v>
      </c>
      <c r="G35" s="7">
        <f>E35*F35</f>
        <v/>
      </c>
      <c r="H35" s="9">
        <f>IF(G35=0,"",G35/G109)</f>
        <v/>
      </c>
    </row>
    <row r="36">
      <c r="C36" s="6" t="inlineStr">
        <is>
          <t>Demos B2B adicionales</t>
        </is>
      </c>
      <c r="E36" s="7" t="n">
        <v>1</v>
      </c>
      <c r="F36" s="7" t="n">
        <v>450</v>
      </c>
      <c r="G36" s="7">
        <f>E36*F36</f>
        <v/>
      </c>
      <c r="H36" s="9">
        <f>IF(G36=0,"",G36/G109)</f>
        <v/>
      </c>
    </row>
    <row r="37">
      <c r="C37" s="3" t="inlineStr">
        <is>
          <t>Subtotal marketing pre-lanzamiento Lean</t>
        </is>
      </c>
      <c r="G37" s="7">
        <f>SUM(G34:G36)</f>
        <v/>
      </c>
      <c r="H37" s="9">
        <f>IF(G37=0,"",G37/G109)</f>
        <v/>
      </c>
    </row>
    <row r="38"/>
    <row r="39">
      <c r="C39" s="4" t="inlineStr">
        <is>
          <t>MANO DE OBRA FASE 0 (3 meses — incluida en Fase 0, no duplicar en one-shots)</t>
        </is>
      </c>
    </row>
    <row r="40">
      <c r="C40" s="6" t="inlineStr">
        <is>
          <t>4× Sales bootstrap (350 c/u) — sueldos bajo AVGH; validar contratos [PENDIENTE]. Tarifas mensuales × 3 meses pre-Day-D. Comisiones Sales: $40/firma (estimado en ESTA, no duplicado aquí).</t>
        </is>
      </c>
    </row>
    <row r="41"/>
    <row r="42">
      <c r="C42" s="6" t="inlineStr">
        <is>
          <t>Founder CEO/CTO (1000/mes)</t>
        </is>
      </c>
      <c r="E42" s="7" t="n">
        <v>3</v>
      </c>
      <c r="F42" s="7" t="n">
        <v>1000</v>
      </c>
      <c r="G42" s="7">
        <f>E42*F42</f>
        <v/>
      </c>
      <c r="H42" s="9">
        <f>IF(G42=0,"",G42/G109)</f>
        <v/>
      </c>
    </row>
    <row r="43">
      <c r="C43" s="6" t="inlineStr">
        <is>
          <t>Co-CEO Head Sales&amp;Ops (1000/mes)</t>
        </is>
      </c>
      <c r="E43" s="7" t="n">
        <v>3</v>
      </c>
      <c r="F43" s="7" t="n">
        <v>1000</v>
      </c>
      <c r="G43" s="7">
        <f>E43*F43</f>
        <v/>
      </c>
      <c r="H43" s="9">
        <f>IF(G43=0,"",G43/G109)</f>
        <v/>
      </c>
    </row>
    <row r="44">
      <c r="C44" s="6" t="inlineStr">
        <is>
          <t>Dev junior (Flutter/Laravel) (600/mes)</t>
        </is>
      </c>
      <c r="E44" s="7" t="n">
        <v>3</v>
      </c>
      <c r="F44" s="7" t="n">
        <v>600</v>
      </c>
      <c r="G44" s="7">
        <f>E44*F44</f>
        <v/>
      </c>
      <c r="H44" s="9">
        <f>IF(G44=0,"",G44/G109)</f>
        <v/>
      </c>
    </row>
    <row r="45">
      <c r="C45" s="6" t="inlineStr">
        <is>
          <t>4× Sales B2B (350/mes c/u base)</t>
        </is>
      </c>
      <c r="E45" s="7" t="n">
        <v>3</v>
      </c>
      <c r="F45" s="7" t="n">
        <v>1400</v>
      </c>
      <c r="G45" s="7">
        <f>E45*F45</f>
        <v/>
      </c>
      <c r="H45" s="9">
        <f>IF(G45=0,"",G45/G109)</f>
        <v/>
      </c>
    </row>
    <row r="46">
      <c r="C46" s="6" t="inlineStr">
        <is>
          <t>CS + Community Manager (400/mes)</t>
        </is>
      </c>
      <c r="E46" s="7" t="n">
        <v>3</v>
      </c>
      <c r="F46" s="7" t="n">
        <v>400</v>
      </c>
      <c r="G46" s="7">
        <f>E46*F46</f>
        <v/>
      </c>
      <c r="H46" s="9">
        <f>IF(G46=0,"",G46/G109)</f>
        <v/>
      </c>
    </row>
    <row r="47">
      <c r="C47" s="6" t="inlineStr">
        <is>
          <t>Herramientas IA (425/mes)</t>
        </is>
      </c>
      <c r="E47" s="7" t="n">
        <v>3</v>
      </c>
      <c r="F47" s="7" t="n">
        <v>425</v>
      </c>
      <c r="G47" s="7">
        <f>E47*F47</f>
        <v/>
      </c>
      <c r="H47" s="9">
        <f>IF(G47=0,"",G47/G109)</f>
        <v/>
      </c>
    </row>
    <row r="48">
      <c r="C48" s="6" t="inlineStr">
        <is>
          <t>Contador + Abogado (330/mes)</t>
        </is>
      </c>
      <c r="E48" s="7" t="n">
        <v>3</v>
      </c>
      <c r="F48" s="7" t="n">
        <v>330</v>
      </c>
      <c r="G48" s="7">
        <f>E48*F48</f>
        <v/>
      </c>
      <c r="H48" s="9">
        <f>IF(G48=0,"",G48/G109)</f>
        <v/>
      </c>
    </row>
    <row r="49">
      <c r="C49" s="3" t="inlineStr">
        <is>
          <t>Subtotal mano de obra Fase 0 (3 meses)</t>
        </is>
      </c>
      <c r="G49" s="7">
        <f>SUM(G42:G48)</f>
        <v/>
      </c>
      <c r="H49" s="9">
        <f>IF(G49=0,"",G49/G109)</f>
        <v/>
      </c>
    </row>
    <row r="50"/>
    <row r="51">
      <c r="C51" s="4" t="inlineStr">
        <is>
          <t>TRANSPORTE Y MOVILIDAD B2B (referencia desglose)</t>
        </is>
      </c>
    </row>
    <row r="52">
      <c r="C52" s="6" t="inlineStr">
        <is>
          <t>Ancla Lean: ~500 USD en «Visitas comerciales» (intro) + ~280/mes en burn «Material + transporte + contingencia». Bloque explicativo — no suma ancla.</t>
        </is>
      </c>
    </row>
    <row r="53"/>
    <row r="54">
      <c r="C54" s="6" t="inlineStr">
        <is>
          <t>Visitas comerciales Valencia (combustible / terceros)</t>
        </is>
      </c>
      <c r="E54" s="7" t="n">
        <v>3</v>
      </c>
      <c r="F54" s="7" t="n">
        <v>167</v>
      </c>
      <c r="G54" s="7">
        <f>E54*F54</f>
        <v/>
      </c>
      <c r="H54" s="9">
        <f>IF(G54=0,"",G54/G109)</f>
        <v/>
      </c>
    </row>
    <row r="55">
      <c r="C55" s="6" t="inlineStr">
        <is>
          <t>Logística material demo (tablets, POP)</t>
        </is>
      </c>
      <c r="E55" s="7" t="n">
        <v>1</v>
      </c>
      <c r="F55" s="7" t="n">
        <v>200</v>
      </c>
      <c r="G55" s="7">
        <f>E55*F55</f>
        <v/>
      </c>
      <c r="H55" s="9">
        <f>IF(G55=0,"",G55/G109)</f>
        <v/>
      </c>
    </row>
    <row r="56">
      <c r="C56" s="6" t="inlineStr">
        <is>
          <t>Gira medios / eventos farmacia (opcional Lean)</t>
        </is>
      </c>
      <c r="E56" s="7" t="n">
        <v>1</v>
      </c>
      <c r="F56" s="7" t="n">
        <v>350</v>
      </c>
      <c r="G56" s="7">
        <f>E56*F56</f>
        <v/>
      </c>
      <c r="H56" s="9">
        <f>IF(G56=0,"",G56/G109)</f>
        <v/>
      </c>
    </row>
    <row r="57">
      <c r="C57" s="3" t="inlineStr">
        <is>
          <t>Subtotal transporte referencia Fase 0</t>
        </is>
      </c>
      <c r="G57" s="7">
        <f>SUM(G54:G56)</f>
        <v/>
      </c>
      <c r="H57" s="9">
        <f>IF(G57=0,"",G57/G109)</f>
        <v/>
      </c>
    </row>
    <row r="58"/>
    <row r="59">
      <c r="C59" s="4" t="inlineStr">
        <is>
          <t>HQ Y CAPEX — Lean (ancla one-shots)</t>
        </is>
      </c>
    </row>
    <row r="60">
      <c r="C60" s="6" t="inlineStr">
        <is>
          <t>Depósito + amueblado HQ casa</t>
        </is>
      </c>
      <c r="E60" s="7" t="n">
        <v>1</v>
      </c>
      <c r="F60" s="7" t="n">
        <v>1250</v>
      </c>
      <c r="G60" s="7">
        <f>E60*F60</f>
        <v/>
      </c>
      <c r="H60" s="9">
        <f>IF(G60=0,"",G60/G109)</f>
        <v/>
      </c>
    </row>
    <row r="61">
      <c r="C61" s="6" t="inlineStr">
        <is>
          <t>Adecuación HQ (pintura, señalética)</t>
        </is>
      </c>
      <c r="E61" s="7" t="n">
        <v>1</v>
      </c>
      <c r="F61" s="7" t="n">
        <v>400</v>
      </c>
      <c r="G61" s="7">
        <f>E61*F61</f>
        <v/>
      </c>
      <c r="H61" s="9">
        <f>IF(G61=0,"",G61/G109)</f>
        <v/>
      </c>
    </row>
    <row r="62">
      <c r="C62" s="6" t="inlineStr">
        <is>
          <t>PC recepción / ventas</t>
        </is>
      </c>
      <c r="E62" s="7" t="n">
        <v>1</v>
      </c>
      <c r="F62" s="7" t="n">
        <v>800</v>
      </c>
      <c r="G62" s="7">
        <f>E62*F62</f>
        <v/>
      </c>
      <c r="H62" s="9">
        <f>IF(G62=0,"",G62/G109)</f>
        <v/>
      </c>
    </row>
    <row r="63">
      <c r="C63" s="6" t="inlineStr">
        <is>
          <t>PC administración</t>
        </is>
      </c>
      <c r="E63" s="7" t="n">
        <v>1</v>
      </c>
      <c r="F63" s="7" t="n">
        <v>850</v>
      </c>
      <c r="G63" s="7">
        <f>E63*F63</f>
        <v/>
      </c>
      <c r="H63" s="9">
        <f>IF(G63=0,"",G63/G109)</f>
        <v/>
      </c>
    </row>
    <row r="64">
      <c r="C64" s="6" t="inlineStr">
        <is>
          <t>PC desarrollo</t>
        </is>
      </c>
      <c r="E64" s="7" t="n">
        <v>1</v>
      </c>
      <c r="F64" s="7" t="n">
        <v>950</v>
      </c>
      <c r="G64" s="7">
        <f>E64*F64</f>
        <v/>
      </c>
      <c r="H64" s="9">
        <f>IF(G64=0,"",G64/G109)</f>
        <v/>
      </c>
    </row>
    <row r="65">
      <c r="C65" s="6" t="inlineStr">
        <is>
          <t>PC puesto flexible</t>
        </is>
      </c>
      <c r="E65" s="7" t="n">
        <v>1</v>
      </c>
      <c r="F65" s="7" t="n">
        <v>1100</v>
      </c>
      <c r="G65" s="7">
        <f>E65*F65</f>
        <v/>
      </c>
      <c r="H65" s="9">
        <f>IF(G65=0,"",G65/G109)</f>
        <v/>
      </c>
    </row>
    <row r="66">
      <c r="C66" s="3" t="inlineStr">
        <is>
          <t>Subtotal HQ y CapEx</t>
        </is>
      </c>
      <c r="G66" s="7">
        <f>SUM(G60:G65)</f>
        <v/>
      </c>
      <c r="H66" s="9">
        <f>IF(G66=0,"",G66/G109)</f>
        <v/>
      </c>
    </row>
    <row r="67"/>
    <row r="68">
      <c r="C68" s="4" t="inlineStr">
        <is>
          <t>FASE 0 — OUTFLOW OPERATIVO (T+0→Day-D, bottom-up)</t>
        </is>
      </c>
    </row>
    <row r="69">
      <c r="C69" s="6" t="inlineStr">
        <is>
          <t>Sub-fase 0a (T+0 a T+30)</t>
        </is>
      </c>
      <c r="E69" s="7" t="n">
        <v>1</v>
      </c>
      <c r="F69" s="7" t="n">
        <v>17813</v>
      </c>
      <c r="G69" s="7">
        <f>E69*F69</f>
        <v/>
      </c>
      <c r="H69" s="9">
        <f>IF(G69=0,"",G69/G109)</f>
        <v/>
      </c>
    </row>
    <row r="70">
      <c r="C70" s="6" t="inlineStr">
        <is>
          <t>Sub-fase 0b (T+30 a T+60)</t>
        </is>
      </c>
      <c r="E70" s="7" t="n">
        <v>1</v>
      </c>
      <c r="F70" s="7" t="n">
        <v>8011</v>
      </c>
      <c r="G70" s="7">
        <f>E70*F70</f>
        <v/>
      </c>
      <c r="H70" s="9">
        <f>IF(G70=0,"",G70/G109)</f>
        <v/>
      </c>
    </row>
    <row r="71">
      <c r="C71" s="6" t="inlineStr">
        <is>
          <t>Sub-fase 0c (T+60 a T+90)</t>
        </is>
      </c>
      <c r="E71" s="7" t="n">
        <v>1</v>
      </c>
      <c r="F71" s="7" t="n">
        <v>8011</v>
      </c>
      <c r="G71" s="7">
        <f>E71*F71</f>
        <v/>
      </c>
      <c r="H71" s="9">
        <f>IF(G71=0,"",G71/G109)</f>
        <v/>
      </c>
    </row>
    <row r="72">
      <c r="C72" s="3" t="inlineStr">
        <is>
          <t>Subtotal Fase 0</t>
        </is>
      </c>
      <c r="G72" s="7">
        <f>SUM(G69:G71)</f>
        <v/>
      </c>
      <c r="H72" s="9">
        <f>IF(G72=0,"",G72/G109)</f>
        <v/>
      </c>
    </row>
    <row r="73"/>
    <row r="74">
      <c r="C74" s="3" t="inlineStr">
        <is>
          <t>Caja al Day-D (111.988 − Fase 0)</t>
        </is>
      </c>
      <c r="G74" s="7">
        <f>111988-G72</f>
        <v/>
      </c>
      <c r="H74" s="9">
        <f>IF(G74=0,"",G74/G109)</f>
        <v/>
      </c>
    </row>
    <row r="75"/>
    <row r="76">
      <c r="C76" s="3" t="inlineStr">
        <is>
          <t>TOTAL one-shots Lean (legal+intro+HQ)</t>
        </is>
      </c>
      <c r="G76" s="7">
        <f>G18+G31+G66</f>
        <v/>
      </c>
      <c r="H76" s="9">
        <f>IF(G76=0,"",G76/G109)</f>
        <v/>
      </c>
    </row>
    <row r="77"/>
    <row r="78">
      <c r="C78" s="3" t="inlineStr">
        <is>
          <t>Validación: Fase 0 − one-shots − mkt pre (ops burn ~15.999)</t>
        </is>
      </c>
      <c r="G78" s="7">
        <f>G72-G76-G37</f>
        <v/>
      </c>
      <c r="H78" s="9">
        <f>IF(G78=0,"",G78/G109)</f>
        <v/>
      </c>
      <c r="I78" s="6" t="inlineStr">
        <is>
          <t>≈ delta vs subtotal MO + HQ/servicios en Fase 0</t>
        </is>
      </c>
    </row>
    <row r="79"/>
    <row r="80">
      <c r="C80" s="4" t="inlineStr">
        <is>
          <t>MANO DE OBRA OPERATIVA (post-Day-D — USD/mes, incluida en burn M1–M12)</t>
        </is>
      </c>
    </row>
    <row r="81">
      <c r="C81" s="6" t="inlineStr">
        <is>
          <t>Espejo nómina recurrente ESTA SI VALE. No sumar a one-shots ni a Fase 0.</t>
        </is>
      </c>
    </row>
    <row r="82"/>
    <row r="83">
      <c r="C83" s="6" t="inlineStr">
        <is>
          <t>Founder CEO/CTO</t>
        </is>
      </c>
      <c r="F83" s="7" t="n">
        <v>1000</v>
      </c>
      <c r="H83" s="6" t="inlineStr">
        <is>
          <t>mensual</t>
        </is>
      </c>
      <c r="I83" s="6" t="inlineStr">
        <is>
          <t>→ burn Año 1</t>
        </is>
      </c>
    </row>
    <row r="84">
      <c r="C84" s="6" t="inlineStr">
        <is>
          <t>Co-CEO Head Sales&amp;Ops</t>
        </is>
      </c>
      <c r="F84" s="7" t="n">
        <v>1000</v>
      </c>
      <c r="H84" s="6" t="inlineStr">
        <is>
          <t>mensual</t>
        </is>
      </c>
      <c r="I84" s="6" t="inlineStr">
        <is>
          <t>→ burn Año 1</t>
        </is>
      </c>
    </row>
    <row r="85">
      <c r="C85" s="6" t="inlineStr">
        <is>
          <t>Dev junior</t>
        </is>
      </c>
      <c r="F85" s="7" t="n">
        <v>600</v>
      </c>
      <c r="H85" s="6" t="inlineStr">
        <is>
          <t>mensual</t>
        </is>
      </c>
      <c r="I85" s="6" t="inlineStr">
        <is>
          <t>→ burn Año 1</t>
        </is>
      </c>
    </row>
    <row r="86">
      <c r="C86" s="6" t="inlineStr">
        <is>
          <t>4× Sales B2B (base c/u)</t>
        </is>
      </c>
      <c r="F86" s="7" t="n">
        <v>1400</v>
      </c>
      <c r="H86" s="6" t="inlineStr">
        <is>
          <t>mensual</t>
        </is>
      </c>
      <c r="I86" s="6" t="inlineStr">
        <is>
          <t>→ burn Año 1</t>
        </is>
      </c>
    </row>
    <row r="87">
      <c r="C87" s="6" t="inlineStr">
        <is>
          <t>CS + Community Manager</t>
        </is>
      </c>
      <c r="F87" s="7" t="n">
        <v>400</v>
      </c>
      <c r="H87" s="6" t="inlineStr">
        <is>
          <t>mensual</t>
        </is>
      </c>
      <c r="I87" s="6" t="inlineStr">
        <is>
          <t>→ burn Año 1</t>
        </is>
      </c>
    </row>
    <row r="88">
      <c r="C88" s="6" t="inlineStr">
        <is>
          <t>Herramientas IA</t>
        </is>
      </c>
      <c r="F88" s="7" t="n">
        <v>425</v>
      </c>
      <c r="H88" s="6" t="inlineStr">
        <is>
          <t>mensual</t>
        </is>
      </c>
      <c r="I88" s="6" t="inlineStr">
        <is>
          <t>→ burn Año 1</t>
        </is>
      </c>
    </row>
    <row r="89">
      <c r="C89" s="6" t="inlineStr">
        <is>
          <t>Contador + Abogado</t>
        </is>
      </c>
      <c r="F89" s="7" t="n">
        <v>330</v>
      </c>
      <c r="H89" s="6" t="inlineStr">
        <is>
          <t>mensual</t>
        </is>
      </c>
      <c r="I89" s="6" t="inlineStr">
        <is>
          <t>→ burn Año 1</t>
        </is>
      </c>
    </row>
    <row r="90">
      <c r="C90" s="3" t="inlineStr">
        <is>
          <t>Subtotal MO operativa (fija/mes)</t>
        </is>
      </c>
      <c r="G90" s="7">
        <f>SUM(F83:F89)</f>
        <v/>
      </c>
      <c r="H90" s="9">
        <f>IF(G90=0,"",G90/G109)</f>
        <v/>
      </c>
    </row>
    <row r="91"/>
    <row r="92">
      <c r="C92" s="4" t="inlineStr">
        <is>
          <t>MARKETING Y OPEX MENSUAL RECURRENTE (ref. ESTA → Año 1)</t>
        </is>
      </c>
    </row>
    <row r="93">
      <c r="C93" s="6" t="inlineStr">
        <is>
          <t>Incluido en burn M1–M12. No sumar a one-shots ni duplicar MO Fase 0.</t>
        </is>
      </c>
    </row>
    <row r="94"/>
    <row r="95">
      <c r="C95" s="6" t="inlineStr">
        <is>
          <t>HQ casa (arriendo + servicios)</t>
        </is>
      </c>
      <c r="F95" s="7" t="n">
        <v>500</v>
      </c>
      <c r="G95" s="7">
        <f>F95</f>
        <v/>
      </c>
      <c r="H95" s="9">
        <f>IF(G95=0,"",G95/G109)</f>
        <v/>
      </c>
      <c r="I95" s="6" t="inlineStr">
        <is>
          <t>Alquiler HQ post-Day-D — incluido en burn M1–M12</t>
        </is>
      </c>
    </row>
    <row r="96">
      <c r="C96" s="6" t="inlineStr">
        <is>
          <t>Servicios oficina</t>
        </is>
      </c>
      <c r="F96" s="7" t="n">
        <v>80</v>
      </c>
      <c r="G96" s="7">
        <f>F96</f>
        <v/>
      </c>
      <c r="H96" s="9">
        <f>IF(G96=0,"",G96/G109)</f>
        <v/>
      </c>
      <c r="I96" s="6" t="inlineStr">
        <is>
          <t>→ ESTA: §2.3.1</t>
        </is>
      </c>
    </row>
    <row r="97">
      <c r="C97" s="6" t="inlineStr">
        <is>
          <t>Hosting + SaaS + Firebase OTP</t>
        </is>
      </c>
      <c r="F97" s="7" t="n">
        <v>154</v>
      </c>
      <c r="G97" s="7">
        <f>F97</f>
        <v/>
      </c>
      <c r="H97" s="9">
        <f>IF(G97=0,"",G97/G109)</f>
        <v/>
      </c>
      <c r="I97" s="6" t="inlineStr">
        <is>
          <t>SaaS ~120 + SMS ~34 (§2.3.1)</t>
        </is>
      </c>
    </row>
    <row r="98">
      <c r="C98" s="14" t="inlineStr">
        <is>
          <t xml:space="preserve">  └ Hosting cloud / SaaS (desglose)</t>
        </is>
      </c>
      <c r="I98" s="14" t="inlineStr">
        <is>
          <t>~120 USD/mes — footnote, no sumar</t>
        </is>
      </c>
    </row>
    <row r="99">
      <c r="C99" s="14" t="inlineStr">
        <is>
          <t xml:space="preserve">  └ Firebase SMS / OTP (pico conservador)</t>
        </is>
      </c>
      <c r="I99" s="14" t="inlineStr">
        <is>
          <t>~34 USD/mes — footnote, no sumar</t>
        </is>
      </c>
    </row>
    <row r="100">
      <c r="C100" s="6" t="inlineStr">
        <is>
          <t>Meta Ads (prom.)</t>
        </is>
      </c>
      <c r="F100" s="7" t="n">
        <v>650</v>
      </c>
      <c r="G100" s="7">
        <f>F100</f>
        <v/>
      </c>
      <c r="H100" s="9">
        <f>IF(G100=0,"",G100/G109)</f>
        <v/>
      </c>
      <c r="I100" s="6" t="inlineStr">
        <is>
          <t>→ ESTA: tramos</t>
        </is>
      </c>
    </row>
    <row r="101">
      <c r="C101" s="6" t="inlineStr">
        <is>
          <t>Valla pequeña (desde M3)</t>
        </is>
      </c>
      <c r="F101" s="7" t="n">
        <v>292</v>
      </c>
      <c r="G101" s="7">
        <f>F101</f>
        <v/>
      </c>
      <c r="H101" s="9">
        <f>IF(G101=0,"",G101/G109)</f>
        <v/>
      </c>
      <c r="I101" s="6" t="inlineStr">
        <is>
          <t>→ ESTA / Año 1</t>
        </is>
      </c>
    </row>
    <row r="102">
      <c r="C102" s="6" t="inlineStr">
        <is>
          <t>Material + transporte + contingencia (incl. buffer VE 20%)</t>
        </is>
      </c>
      <c r="F102" s="7" t="n">
        <v>1277</v>
      </c>
      <c r="G102" s="7">
        <f>F102</f>
        <v/>
      </c>
      <c r="H102" s="9">
        <f>IF(G102=0,"",G102/G109)</f>
        <v/>
      </c>
      <c r="I102" s="6" t="inlineStr">
        <is>
          <t>→ ESTA: PRESUPUESTO §6</t>
        </is>
      </c>
    </row>
    <row r="103">
      <c r="C103" s="3" t="inlineStr">
        <is>
          <t>Subtotal marketing + opex variable/mes</t>
        </is>
      </c>
      <c r="G103" s="7">
        <f>SUM(F95:F102)</f>
        <v/>
      </c>
      <c r="H103" s="9">
        <f>IF(G103=0,"",G103/G109)</f>
        <v/>
      </c>
    </row>
    <row r="104">
      <c r="C104" s="15" t="inlineStr">
        <is>
          <t>Sales comisiones (estim. prom/mes — $40/firma)</t>
        </is>
      </c>
      <c r="F104" s="7" t="n">
        <v>617</v>
      </c>
      <c r="H104" s="6" t="inlineStr">
        <is>
          <t>mensual</t>
        </is>
      </c>
      <c r="I104" s="6" t="inlineStr">
        <is>
          <t>Variable — no incluido en burn fijo Lean</t>
        </is>
      </c>
    </row>
    <row r="105"/>
    <row r="106">
      <c r="C106" s="3" t="inlineStr">
        <is>
          <t>USE OF FUNDS 12M (post Day-D) — bottom-up</t>
        </is>
      </c>
    </row>
    <row r="107">
      <c r="C107" s="6" t="inlineStr">
        <is>
          <t>Burn M1-M12</t>
        </is>
      </c>
      <c r="G107" s="7" t="n">
        <v>97290</v>
      </c>
      <c r="H107" s="9">
        <f>IF(G107=0,"",G107/G109)</f>
        <v/>
      </c>
    </row>
    <row r="108">
      <c r="C108" s="6" t="inlineStr">
        <is>
          <t>Reserva caja Lean</t>
        </is>
      </c>
      <c r="G108" s="7" t="n">
        <v>490</v>
      </c>
      <c r="H108" s="9">
        <f>IF(G108=0,"",G108/G109)</f>
        <v/>
      </c>
    </row>
    <row r="109">
      <c r="C109" s="3" t="inlineStr">
        <is>
          <t>TOTAL capital SAFE Lean</t>
        </is>
      </c>
      <c r="G109" s="7">
        <f>G76+G107+G108</f>
        <v/>
      </c>
      <c r="H109" s="9">
        <f>IF(G109=0,"",G109/G109)</f>
        <v/>
      </c>
    </row>
  </sheetData>
  <mergeCells count="9">
    <mergeCell ref="C22:I22"/>
    <mergeCell ref="C52:I52"/>
    <mergeCell ref="C40:I40"/>
    <mergeCell ref="K10:M10"/>
    <mergeCell ref="C4:I4"/>
    <mergeCell ref="C20:I20"/>
    <mergeCell ref="K23:M23"/>
    <mergeCell ref="C81:I81"/>
    <mergeCell ref="C93:I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7:M75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28" customWidth="1" min="11" max="11"/>
    <col width="14" customWidth="1" min="13" max="13"/>
  </cols>
  <sheetData>
    <row r="7">
      <c r="E7" s="16" t="inlineStr">
        <is>
          <t>Zonix Pharma — Resumen inversión (v3.8.2)</t>
        </is>
      </c>
    </row>
    <row r="9">
      <c r="E9" s="12" t="inlineStr">
        <is>
          <t>A — Use of funds (TOTAL SAFE Lean)</t>
        </is>
      </c>
      <c r="F9" s="12" t="n"/>
      <c r="G9" s="12" t="n"/>
      <c r="H9" s="12" t="n"/>
      <c r="K9" s="5" t="inlineStr">
        <is>
          <t>TIMELINE + RESUMEN FASE 0 (v3.8.2)</t>
        </is>
      </c>
    </row>
    <row r="10">
      <c r="E10" s="2" t="inlineStr">
        <is>
          <t>Bloque</t>
        </is>
      </c>
      <c r="G10" s="2" t="inlineStr">
        <is>
          <t>USD</t>
        </is>
      </c>
      <c r="H10" s="2" t="inlineStr">
        <is>
          <t>% del total</t>
        </is>
      </c>
      <c r="K10" s="6" t="inlineStr">
        <is>
          <t>One-shots (legal+intro+HQ)</t>
        </is>
      </c>
      <c r="M10" s="7">
        <f>'Detallado de la inversión.'!G76</f>
        <v/>
      </c>
    </row>
    <row r="11">
      <c r="E11" s="6" t="inlineStr">
        <is>
          <t>One-shots (legal + intro + HQ)</t>
        </is>
      </c>
      <c r="G11" s="7">
        <f>'Detallado de la inversión.'!G76</f>
        <v/>
      </c>
      <c r="H11" s="9">
        <f>G11/G15</f>
        <v/>
      </c>
      <c r="K11" s="6" t="inlineStr">
        <is>
          <t>Fase 0 operativa (sin one-shots)</t>
        </is>
      </c>
      <c r="M11" s="7">
        <f>'Detallado de la inversión.'!G78</f>
        <v/>
      </c>
    </row>
    <row r="12">
      <c r="E12" s="6" t="inlineStr">
        <is>
          <t>Burn 12 meses (M1–M12)</t>
        </is>
      </c>
      <c r="G12" s="7">
        <f>'Detallado de la inversión.'!G107</f>
        <v/>
      </c>
      <c r="H12" s="9">
        <f>G12/G15</f>
        <v/>
      </c>
      <c r="K12" s="6" t="inlineStr">
        <is>
          <t>Fase 0 total (T+0→Day-D)</t>
        </is>
      </c>
      <c r="M12" s="7">
        <f>'Detallado de la inversión.'!G72</f>
        <v/>
      </c>
    </row>
    <row r="13">
      <c r="E13" s="6" t="inlineStr">
        <is>
          <t>Reserva caja Lean</t>
        </is>
      </c>
      <c r="G13" s="7">
        <f>'Detallado de la inversión.'!G108</f>
        <v/>
      </c>
      <c r="H13" s="9">
        <f>G13/G15</f>
        <v/>
      </c>
      <c r="K13" s="6" t="inlineStr">
        <is>
          <t>Sub-fase 0a (T+0→T+30)</t>
        </is>
      </c>
      <c r="M13" s="7">
        <f>'Detallado de la inversión.'!G69</f>
        <v/>
      </c>
    </row>
    <row r="14">
      <c r="K14" s="6" t="inlineStr">
        <is>
          <t>Sub-fase 0b (T+30→T+60)</t>
        </is>
      </c>
      <c r="M14" s="7">
        <f>'Detallado de la inversión.'!G70</f>
        <v/>
      </c>
    </row>
    <row r="15">
      <c r="E15" s="17" t="inlineStr">
        <is>
          <t>TOTAL SAFE Lean</t>
        </is>
      </c>
      <c r="G15" s="17">
        <f>'Detallado de la inversión.'!G109</f>
        <v/>
      </c>
      <c r="H15" s="17">
        <f>SUM(H11:H13)</f>
        <v/>
      </c>
      <c r="K15" s="6" t="inlineStr">
        <is>
          <t>Sub-fase 0c (T+60→T+90)</t>
        </is>
      </c>
      <c r="M15" s="7">
        <f>'Detallado de la inversión.'!G71</f>
        <v/>
      </c>
    </row>
    <row r="16">
      <c r="E16" s="14" t="inlineStr">
        <is>
          <t>Marketing pre-lanzamiento (~2.250 USD) incluido en Fase 0 — ver Sección B. Unit economics → pestaña ESTA SI VALE.</t>
        </is>
      </c>
      <c r="K16" s="6" t="inlineStr">
        <is>
          <t>Caja al Day-D (inicio M1)</t>
        </is>
      </c>
      <c r="M16" s="7">
        <f>'Detallado de la inversión.'!G74</f>
        <v/>
      </c>
    </row>
    <row r="17">
      <c r="K17" s="6" t="inlineStr">
        <is>
          <t>Burn 12 meses (M1–M12)</t>
        </is>
      </c>
      <c r="M17" s="7">
        <f>'Detallado de la inversión.'!G107</f>
        <v/>
      </c>
    </row>
    <row r="18">
      <c r="E18" s="12" t="inlineStr">
        <is>
          <t>B — Desglose operativo Fase 0 (enlace Detallado)</t>
        </is>
      </c>
      <c r="F18" s="12" t="n"/>
      <c r="G18" s="12" t="n"/>
      <c r="H18" s="12" t="n"/>
      <c r="K18" s="6" t="inlineStr">
        <is>
          <t>Reserva caja</t>
        </is>
      </c>
      <c r="M18" s="7">
        <f>'Detallado de la inversión.'!G108</f>
        <v/>
      </c>
    </row>
    <row r="19">
      <c r="E19" s="13" t="inlineStr">
        <is>
          <t>Informativo — no sumar bloques al TOTAL SAFE (Sección A). Subtotal Fase 0 = modelo timing 0a–0c, no suma de columnas visibles.</t>
        </is>
      </c>
      <c r="K19" s="6" t="inlineStr">
        <is>
          <t>TOTAL capital SAFE</t>
        </is>
      </c>
      <c r="M19" s="8">
        <f>'Detallado de la inversión.'!G109</f>
        <v/>
      </c>
    </row>
    <row r="20">
      <c r="E20" s="2" t="inlineStr">
        <is>
          <t>Descripción</t>
        </is>
      </c>
      <c r="F20" s="2" t="inlineStr">
        <is>
          <t>Cant.</t>
        </is>
      </c>
      <c r="G20" s="2" t="inlineStr">
        <is>
          <t>USD/u</t>
        </is>
      </c>
      <c r="H20" s="2" t="inlineStr">
        <is>
          <t>Total USD</t>
        </is>
      </c>
      <c r="K20" s="6" t="inlineStr">
        <is>
          <t>SAFE cap ref. → ~18.66% equity</t>
        </is>
      </c>
      <c r="M20" s="11">
        <f>M19/600000</f>
        <v/>
      </c>
    </row>
    <row r="21">
      <c r="E21" s="4" t="inlineStr">
        <is>
          <t>Constitución empresa (sin BPF/CPE farmacia)</t>
        </is>
      </c>
    </row>
    <row r="22">
      <c r="E22" s="6">
        <f>'Detallado de la inversión.'!C11</f>
        <v/>
      </c>
      <c r="F22" s="6">
        <f>'Detallado de la inversión.'!E11</f>
        <v/>
      </c>
      <c r="G22" s="6">
        <f>'Detallado de la inversión.'!F11</f>
        <v/>
      </c>
      <c r="H22" s="6">
        <f>'Detallado de la inversión.'!G11</f>
        <v/>
      </c>
      <c r="K22" s="12" t="inlineStr">
        <is>
          <t>Ref. mensual post-Day-D</t>
        </is>
      </c>
    </row>
    <row r="23">
      <c r="E23" s="6">
        <f>'Detallado de la inversión.'!C12</f>
        <v/>
      </c>
      <c r="F23" s="6">
        <f>'Detallado de la inversión.'!E12</f>
        <v/>
      </c>
      <c r="G23" s="6">
        <f>'Detallado de la inversión.'!F12</f>
        <v/>
      </c>
      <c r="H23" s="6">
        <f>'Detallado de la inversión.'!G12</f>
        <v/>
      </c>
      <c r="K23" s="6" t="inlineStr">
        <is>
          <t>MO operativa (subtotal)</t>
        </is>
      </c>
      <c r="M23" s="7">
        <f>'Detallado de la inversión.'!G90</f>
        <v/>
      </c>
    </row>
    <row r="24">
      <c r="E24" s="6">
        <f>'Detallado de la inversión.'!C13</f>
        <v/>
      </c>
      <c r="F24" s="6">
        <f>'Detallado de la inversión.'!E13</f>
        <v/>
      </c>
      <c r="G24" s="6">
        <f>'Detallado de la inversión.'!F13</f>
        <v/>
      </c>
      <c r="H24" s="6">
        <f>'Detallado de la inversión.'!G13</f>
        <v/>
      </c>
      <c r="K24" s="6" t="inlineStr">
        <is>
          <t>Marketing mensual (subtotal)</t>
        </is>
      </c>
      <c r="M24" s="7">
        <f>'Detallado de la inversión.'!G103</f>
        <v/>
      </c>
    </row>
    <row r="25">
      <c r="E25" s="6">
        <f>'Detallado de la inversión.'!C14</f>
        <v/>
      </c>
      <c r="F25" s="6">
        <f>'Detallado de la inversión.'!E14</f>
        <v/>
      </c>
      <c r="G25" s="6">
        <f>'Detallado de la inversión.'!F14</f>
        <v/>
      </c>
      <c r="H25" s="6">
        <f>'Detallado de la inversión.'!G14</f>
        <v/>
      </c>
      <c r="K25" s="13" t="inlineStr">
        <is>
          <t>Incluido en burn M1–M12. No sumar a one-shots ni duplicar MO Fase 0. Unit economics → pestaña ESTA SI VALE.</t>
        </is>
      </c>
    </row>
    <row r="26">
      <c r="E26" s="6">
        <f>'Detallado de la inversión.'!C15</f>
        <v/>
      </c>
      <c r="F26" s="6">
        <f>'Detallado de la inversión.'!E15</f>
        <v/>
      </c>
      <c r="G26" s="6">
        <f>'Detallado de la inversión.'!F15</f>
        <v/>
      </c>
      <c r="H26" s="6">
        <f>'Detallado de la inversión.'!G15</f>
        <v/>
      </c>
    </row>
    <row r="27">
      <c r="E27" s="6">
        <f>'Detallado de la inversión.'!C16</f>
        <v/>
      </c>
      <c r="F27" s="6">
        <f>'Detallado de la inversión.'!E16</f>
        <v/>
      </c>
      <c r="G27" s="6">
        <f>'Detallado de la inversión.'!F16</f>
        <v/>
      </c>
      <c r="H27" s="6">
        <f>'Detallado de la inversión.'!G16</f>
        <v/>
      </c>
    </row>
    <row r="28">
      <c r="E28" s="6">
        <f>'Detallado de la inversión.'!C17</f>
        <v/>
      </c>
      <c r="F28" s="6">
        <f>'Detallado de la inversión.'!E17</f>
        <v/>
      </c>
      <c r="G28" s="6">
        <f>'Detallado de la inversión.'!F17</f>
        <v/>
      </c>
      <c r="H28" s="6">
        <f>'Detallado de la inversión.'!G17</f>
        <v/>
      </c>
    </row>
    <row r="29">
      <c r="E29" s="18">
        <f>'Detallado de la inversión.'!C18</f>
        <v/>
      </c>
      <c r="H29" s="7">
        <f>'Detallado de la inversión.'!G18</f>
        <v/>
      </c>
    </row>
    <row r="31">
      <c r="E31" s="4" t="inlineStr">
        <is>
          <t>Introducción al mercado / demo</t>
        </is>
      </c>
    </row>
    <row r="32">
      <c r="E32" s="6">
        <f>'Detallado de la inversión.'!C25</f>
        <v/>
      </c>
      <c r="F32" s="6">
        <f>'Detallado de la inversión.'!E25</f>
        <v/>
      </c>
      <c r="G32" s="6">
        <f>'Detallado de la inversión.'!F25</f>
        <v/>
      </c>
      <c r="H32" s="6">
        <f>'Detallado de la inversión.'!G25</f>
        <v/>
      </c>
    </row>
    <row r="33">
      <c r="E33" s="6">
        <f>'Detallado de la inversión.'!C26</f>
        <v/>
      </c>
      <c r="F33" s="6">
        <f>'Detallado de la inversión.'!E26</f>
        <v/>
      </c>
      <c r="G33" s="6">
        <f>'Detallado de la inversión.'!F26</f>
        <v/>
      </c>
      <c r="H33" s="6">
        <f>'Detallado de la inversión.'!G26</f>
        <v/>
      </c>
    </row>
    <row r="34">
      <c r="E34" s="6">
        <f>'Detallado de la inversión.'!C27</f>
        <v/>
      </c>
      <c r="F34" s="6">
        <f>'Detallado de la inversión.'!E27</f>
        <v/>
      </c>
      <c r="G34" s="6">
        <f>'Detallado de la inversión.'!F27</f>
        <v/>
      </c>
      <c r="H34" s="6">
        <f>'Detallado de la inversión.'!G27</f>
        <v/>
      </c>
    </row>
    <row r="35">
      <c r="E35" s="6">
        <f>'Detallado de la inversión.'!C28</f>
        <v/>
      </c>
      <c r="F35" s="6">
        <f>'Detallado de la inversión.'!E28</f>
        <v/>
      </c>
      <c r="G35" s="6">
        <f>'Detallado de la inversión.'!F28</f>
        <v/>
      </c>
      <c r="H35" s="6">
        <f>'Detallado de la inversión.'!G28</f>
        <v/>
      </c>
    </row>
    <row r="36">
      <c r="E36" s="6">
        <f>'Detallado de la inversión.'!C29</f>
        <v/>
      </c>
      <c r="F36" s="6">
        <f>'Detallado de la inversión.'!E29</f>
        <v/>
      </c>
      <c r="G36" s="6">
        <f>'Detallado de la inversión.'!F29</f>
        <v/>
      </c>
      <c r="H36" s="6">
        <f>'Detallado de la inversión.'!G29</f>
        <v/>
      </c>
    </row>
    <row r="37">
      <c r="E37" s="6">
        <f>'Detallado de la inversión.'!C30</f>
        <v/>
      </c>
      <c r="F37" s="6">
        <f>'Detallado de la inversión.'!E30</f>
        <v/>
      </c>
      <c r="G37" s="6">
        <f>'Detallado de la inversión.'!F30</f>
        <v/>
      </c>
      <c r="H37" s="6">
        <f>'Detallado de la inversión.'!G30</f>
        <v/>
      </c>
    </row>
    <row r="38">
      <c r="E38" s="18">
        <f>'Detallado de la inversión.'!C31</f>
        <v/>
      </c>
      <c r="H38" s="7">
        <f>'Detallado de la inversión.'!G31</f>
        <v/>
      </c>
    </row>
    <row r="40">
      <c r="E40" s="4" t="inlineStr">
        <is>
          <t>Marketing pre-lanzamiento (3 meses)</t>
        </is>
      </c>
    </row>
    <row r="41">
      <c r="E41" s="6">
        <f>'Detallado de la inversión.'!C34</f>
        <v/>
      </c>
      <c r="F41" s="6">
        <f>'Detallado de la inversión.'!E34</f>
        <v/>
      </c>
      <c r="G41" s="6">
        <f>'Detallado de la inversión.'!F34</f>
        <v/>
      </c>
      <c r="H41" s="6">
        <f>'Detallado de la inversión.'!G34</f>
        <v/>
      </c>
    </row>
    <row r="42">
      <c r="E42" s="6">
        <f>'Detallado de la inversión.'!C35</f>
        <v/>
      </c>
      <c r="F42" s="6">
        <f>'Detallado de la inversión.'!E35</f>
        <v/>
      </c>
      <c r="G42" s="6">
        <f>'Detallado de la inversión.'!F35</f>
        <v/>
      </c>
      <c r="H42" s="6">
        <f>'Detallado de la inversión.'!G35</f>
        <v/>
      </c>
    </row>
    <row r="43">
      <c r="E43" s="6">
        <f>'Detallado de la inversión.'!C36</f>
        <v/>
      </c>
      <c r="F43" s="6">
        <f>'Detallado de la inversión.'!E36</f>
        <v/>
      </c>
      <c r="G43" s="6">
        <f>'Detallado de la inversión.'!F36</f>
        <v/>
      </c>
      <c r="H43" s="6">
        <f>'Detallado de la inversión.'!G36</f>
        <v/>
      </c>
    </row>
    <row r="44">
      <c r="E44" s="18">
        <f>'Detallado de la inversión.'!C37</f>
        <v/>
      </c>
      <c r="H44" s="7">
        <f>'Detallado de la inversión.'!G37</f>
        <v/>
      </c>
    </row>
    <row r="46">
      <c r="E46" s="4" t="inlineStr">
        <is>
          <t>Mano de obra Fase 0 (3 meses)</t>
        </is>
      </c>
    </row>
    <row r="47">
      <c r="E47" s="6">
        <f>'Detallado de la inversión.'!C42</f>
        <v/>
      </c>
      <c r="F47" s="6">
        <f>'Detallado de la inversión.'!E42</f>
        <v/>
      </c>
      <c r="G47" s="6">
        <f>'Detallado de la inversión.'!F42</f>
        <v/>
      </c>
      <c r="H47" s="6">
        <f>'Detallado de la inversión.'!G42</f>
        <v/>
      </c>
    </row>
    <row r="48">
      <c r="E48" s="6">
        <f>'Detallado de la inversión.'!C43</f>
        <v/>
      </c>
      <c r="F48" s="6">
        <f>'Detallado de la inversión.'!E43</f>
        <v/>
      </c>
      <c r="G48" s="6">
        <f>'Detallado de la inversión.'!F43</f>
        <v/>
      </c>
      <c r="H48" s="6">
        <f>'Detallado de la inversión.'!G43</f>
        <v/>
      </c>
    </row>
    <row r="49">
      <c r="E49" s="6">
        <f>'Detallado de la inversión.'!C44</f>
        <v/>
      </c>
      <c r="F49" s="6">
        <f>'Detallado de la inversión.'!E44</f>
        <v/>
      </c>
      <c r="G49" s="6">
        <f>'Detallado de la inversión.'!F44</f>
        <v/>
      </c>
      <c r="H49" s="6">
        <f>'Detallado de la inversión.'!G44</f>
        <v/>
      </c>
    </row>
    <row r="50">
      <c r="E50" s="6">
        <f>'Detallado de la inversión.'!C45</f>
        <v/>
      </c>
      <c r="F50" s="6">
        <f>'Detallado de la inversión.'!E45</f>
        <v/>
      </c>
      <c r="G50" s="6">
        <f>'Detallado de la inversión.'!F45</f>
        <v/>
      </c>
      <c r="H50" s="6">
        <f>'Detallado de la inversión.'!G45</f>
        <v/>
      </c>
    </row>
    <row r="51">
      <c r="E51" s="6">
        <f>'Detallado de la inversión.'!C46</f>
        <v/>
      </c>
      <c r="F51" s="6">
        <f>'Detallado de la inversión.'!E46</f>
        <v/>
      </c>
      <c r="G51" s="6">
        <f>'Detallado de la inversión.'!F46</f>
        <v/>
      </c>
      <c r="H51" s="6">
        <f>'Detallado de la inversión.'!G46</f>
        <v/>
      </c>
    </row>
    <row r="52">
      <c r="E52" s="6">
        <f>'Detallado de la inversión.'!C47</f>
        <v/>
      </c>
      <c r="F52" s="6">
        <f>'Detallado de la inversión.'!E47</f>
        <v/>
      </c>
      <c r="G52" s="6">
        <f>'Detallado de la inversión.'!F47</f>
        <v/>
      </c>
      <c r="H52" s="6">
        <f>'Detallado de la inversión.'!G47</f>
        <v/>
      </c>
    </row>
    <row r="53">
      <c r="E53" s="6">
        <f>'Detallado de la inversión.'!C48</f>
        <v/>
      </c>
      <c r="F53" s="6">
        <f>'Detallado de la inversión.'!E48</f>
        <v/>
      </c>
      <c r="G53" s="6">
        <f>'Detallado de la inversión.'!F48</f>
        <v/>
      </c>
      <c r="H53" s="6">
        <f>'Detallado de la inversión.'!G48</f>
        <v/>
      </c>
    </row>
    <row r="54">
      <c r="E54" s="18">
        <f>'Detallado de la inversión.'!C49</f>
        <v/>
      </c>
      <c r="H54" s="7">
        <f>'Detallado de la inversión.'!G49</f>
        <v/>
      </c>
    </row>
    <row r="56">
      <c r="E56" s="19" t="inlineStr">
        <is>
          <t>Transporte B2B (referencia — no suma ancla)</t>
        </is>
      </c>
    </row>
    <row r="57">
      <c r="E57" s="20">
        <f>'Detallado de la inversión.'!C54</f>
        <v/>
      </c>
      <c r="F57" s="20">
        <f>'Detallado de la inversión.'!E54</f>
        <v/>
      </c>
      <c r="G57" s="20">
        <f>'Detallado de la inversión.'!F54</f>
        <v/>
      </c>
      <c r="H57" s="20">
        <f>'Detallado de la inversión.'!G54</f>
        <v/>
      </c>
    </row>
    <row r="58">
      <c r="E58" s="20">
        <f>'Detallado de la inversión.'!C55</f>
        <v/>
      </c>
      <c r="F58" s="20">
        <f>'Detallado de la inversión.'!E55</f>
        <v/>
      </c>
      <c r="G58" s="20">
        <f>'Detallado de la inversión.'!F55</f>
        <v/>
      </c>
      <c r="H58" s="20">
        <f>'Detallado de la inversión.'!G55</f>
        <v/>
      </c>
    </row>
    <row r="59">
      <c r="E59" s="20">
        <f>'Detallado de la inversión.'!C56</f>
        <v/>
      </c>
      <c r="F59" s="20">
        <f>'Detallado de la inversión.'!E56</f>
        <v/>
      </c>
      <c r="G59" s="20">
        <f>'Detallado de la inversión.'!F56</f>
        <v/>
      </c>
      <c r="H59" s="20">
        <f>'Detallado de la inversión.'!G56</f>
        <v/>
      </c>
    </row>
    <row r="60">
      <c r="E60" s="21">
        <f>'Detallado de la inversión.'!C57</f>
        <v/>
      </c>
      <c r="H60" s="22">
        <f>'Detallado de la inversión.'!G57</f>
        <v/>
      </c>
    </row>
    <row r="62">
      <c r="E62" s="4" t="inlineStr">
        <is>
          <t>HQ y CapEx</t>
        </is>
      </c>
    </row>
    <row r="63">
      <c r="E63" s="6">
        <f>'Detallado de la inversión.'!C60</f>
        <v/>
      </c>
      <c r="F63" s="6">
        <f>'Detallado de la inversión.'!E60</f>
        <v/>
      </c>
      <c r="G63" s="6">
        <f>'Detallado de la inversión.'!F60</f>
        <v/>
      </c>
      <c r="H63" s="6">
        <f>'Detallado de la inversión.'!G60</f>
        <v/>
      </c>
    </row>
    <row r="64">
      <c r="E64" s="6">
        <f>'Detallado de la inversión.'!C61</f>
        <v/>
      </c>
      <c r="F64" s="6">
        <f>'Detallado de la inversión.'!E61</f>
        <v/>
      </c>
      <c r="G64" s="6">
        <f>'Detallado de la inversión.'!F61</f>
        <v/>
      </c>
      <c r="H64" s="6">
        <f>'Detallado de la inversión.'!G61</f>
        <v/>
      </c>
    </row>
    <row r="65">
      <c r="E65" s="6">
        <f>'Detallado de la inversión.'!C62</f>
        <v/>
      </c>
      <c r="F65" s="6">
        <f>'Detallado de la inversión.'!E62</f>
        <v/>
      </c>
      <c r="G65" s="6">
        <f>'Detallado de la inversión.'!F62</f>
        <v/>
      </c>
      <c r="H65" s="6">
        <f>'Detallado de la inversión.'!G62</f>
        <v/>
      </c>
    </row>
    <row r="66">
      <c r="E66" s="6">
        <f>'Detallado de la inversión.'!C63</f>
        <v/>
      </c>
      <c r="F66" s="6">
        <f>'Detallado de la inversión.'!E63</f>
        <v/>
      </c>
      <c r="G66" s="6">
        <f>'Detallado de la inversión.'!F63</f>
        <v/>
      </c>
      <c r="H66" s="6">
        <f>'Detallado de la inversión.'!G63</f>
        <v/>
      </c>
    </row>
    <row r="67">
      <c r="E67" s="6">
        <f>'Detallado de la inversión.'!C64</f>
        <v/>
      </c>
      <c r="F67" s="6">
        <f>'Detallado de la inversión.'!E64</f>
        <v/>
      </c>
      <c r="G67" s="6">
        <f>'Detallado de la inversión.'!F64</f>
        <v/>
      </c>
      <c r="H67" s="6">
        <f>'Detallado de la inversión.'!G64</f>
        <v/>
      </c>
    </row>
    <row r="68">
      <c r="E68" s="6">
        <f>'Detallado de la inversión.'!C65</f>
        <v/>
      </c>
      <c r="F68" s="6">
        <f>'Detallado de la inversión.'!E65</f>
        <v/>
      </c>
      <c r="G68" s="6">
        <f>'Detallado de la inversión.'!F65</f>
        <v/>
      </c>
      <c r="H68" s="6">
        <f>'Detallado de la inversión.'!G65</f>
        <v/>
      </c>
    </row>
    <row r="69">
      <c r="E69" s="18">
        <f>'Detallado de la inversión.'!C66</f>
        <v/>
      </c>
      <c r="H69" s="7">
        <f>'Detallado de la inversión.'!G66</f>
        <v/>
      </c>
    </row>
    <row r="71">
      <c r="E71" s="15" t="inlineStr">
        <is>
          <t>Materia prima: No aplica — marketplace SaaS (~154 USD/mes hosting/SMS en ESTA SI VALE).</t>
        </is>
      </c>
    </row>
    <row r="73">
      <c r="E73" s="3" t="inlineStr">
        <is>
          <t>Validación: Fase 0 − one-shots − mkt pre (ops burn)</t>
        </is>
      </c>
      <c r="H73" s="7">
        <f>'Detallado de la inversión.'!G78</f>
        <v/>
      </c>
    </row>
    <row r="75">
      <c r="E75" s="17" t="inlineStr">
        <is>
          <t>Subtotal Fase 0 (T+0→Day-D)</t>
        </is>
      </c>
      <c r="H75" s="17">
        <f>'Detallado de la inversión.'!G72</f>
        <v/>
      </c>
    </row>
  </sheetData>
  <mergeCells count="3">
    <mergeCell ref="E19:H19"/>
    <mergeCell ref="K9:M9"/>
    <mergeCell ref="K25:M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K69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28" customWidth="1" min="10" max="10"/>
    <col width="14" customWidth="1" min="11" max="11"/>
  </cols>
  <sheetData>
    <row r="1">
      <c r="E1" s="16" t="inlineStr">
        <is>
          <t>Zonix Pharma — inversión Fase 0 (espejo Detallado v3.8.2)</t>
        </is>
      </c>
      <c r="J1" s="16" t="inlineStr">
        <is>
          <t>RESUMEN CAPEX (v3.8.2)</t>
        </is>
      </c>
    </row>
    <row r="2">
      <c r="J2" s="13" t="inlineStr">
        <is>
          <t>Refs informativas — HQ ya en one-shots; no sumar CapEx + TOTAL SAFE.</t>
        </is>
      </c>
    </row>
    <row r="3">
      <c r="E3" s="13" t="inlineStr">
        <is>
          <t>Datos ZonixPharma — enlaces a Detallado. One-shots en Hoja3 Sección A. No sumar bloques al TOTAL SAFE. Marketplace SaaS (sin rubros producción física).</t>
        </is>
      </c>
      <c r="J3" s="6" t="inlineStr">
        <is>
          <t>Inversión CapEx HQ</t>
        </is>
      </c>
      <c r="K3" s="7">
        <f>'Detallado de la inversión.'!G66</f>
        <v/>
      </c>
    </row>
    <row r="4">
      <c r="J4" s="6" t="inlineStr">
        <is>
          <t>% CapEx / TOTAL SAFE Lean</t>
        </is>
      </c>
      <c r="K4" s="9">
        <f>K3/'Detallado de la inversión.'!G109</f>
        <v/>
      </c>
    </row>
    <row r="5">
      <c r="E5" s="2" t="inlineStr">
        <is>
          <t>Descripción</t>
        </is>
      </c>
      <c r="F5" s="2" t="inlineStr">
        <is>
          <t>Cant.</t>
        </is>
      </c>
      <c r="G5" s="2" t="inlineStr">
        <is>
          <t>USD/u</t>
        </is>
      </c>
      <c r="H5" s="2" t="inlineStr">
        <is>
          <t>Total USD</t>
        </is>
      </c>
      <c r="I5" s="2" t="inlineStr">
        <is>
          <t>% SAFE</t>
        </is>
      </c>
      <c r="J5" s="6" t="inlineStr">
        <is>
          <t>TOTAL SAFE Lean (ref.)</t>
        </is>
      </c>
      <c r="K5" s="7">
        <f>'Detallado de la inversión.'!G109</f>
        <v/>
      </c>
    </row>
    <row r="6">
      <c r="E6" s="19" t="inlineStr">
        <is>
          <t>equipos</t>
        </is>
      </c>
      <c r="J6" s="6" t="inlineStr">
        <is>
          <t>Burn mensual ref. (MO+mkt)</t>
        </is>
      </c>
      <c r="K6" s="7">
        <f>'Detallado de la inversión.'!G90+'Detallado de la inversión.'!G103</f>
        <v/>
      </c>
    </row>
    <row r="7">
      <c r="E7" s="20">
        <f>'Detallado de la inversión.'!C62</f>
        <v/>
      </c>
      <c r="F7" s="20">
        <f>'Detallado de la inversión.'!E62</f>
        <v/>
      </c>
      <c r="G7" s="20">
        <f>'Detallado de la inversión.'!F62</f>
        <v/>
      </c>
      <c r="H7" s="20">
        <f>'Detallado de la inversión.'!G62</f>
        <v/>
      </c>
      <c r="I7" s="23">
        <f>'Detallado de la inversión.'!H62</f>
        <v/>
      </c>
      <c r="J7" s="6" t="inlineStr">
        <is>
          <t>Reserva caja (ref.)</t>
        </is>
      </c>
      <c r="K7" s="7">
        <f>'Detallado de la inversión.'!G108</f>
        <v/>
      </c>
    </row>
    <row r="8">
      <c r="E8" s="20">
        <f>'Detallado de la inversión.'!C63</f>
        <v/>
      </c>
      <c r="F8" s="20">
        <f>'Detallado de la inversión.'!E63</f>
        <v/>
      </c>
      <c r="G8" s="20">
        <f>'Detallado de la inversión.'!F63</f>
        <v/>
      </c>
      <c r="H8" s="20">
        <f>'Detallado de la inversión.'!G63</f>
        <v/>
      </c>
      <c r="I8" s="23">
        <f>'Detallado de la inversión.'!H63</f>
        <v/>
      </c>
      <c r="J8" s="6" t="inlineStr">
        <is>
          <t>% equity SAFE (ref.)</t>
        </is>
      </c>
      <c r="K8" s="9">
        <f>K5/600000</f>
        <v/>
      </c>
    </row>
    <row r="9">
      <c r="E9" s="20">
        <f>'Detallado de la inversión.'!C64</f>
        <v/>
      </c>
      <c r="F9" s="20">
        <f>'Detallado de la inversión.'!E64</f>
        <v/>
      </c>
      <c r="G9" s="20">
        <f>'Detallado de la inversión.'!F64</f>
        <v/>
      </c>
      <c r="H9" s="20">
        <f>'Detallado de la inversión.'!G64</f>
        <v/>
      </c>
      <c r="I9" s="23">
        <f>'Detallado de la inversión.'!H64</f>
        <v/>
      </c>
    </row>
    <row r="10">
      <c r="E10" s="20">
        <f>'Detallado de la inversión.'!C65</f>
        <v/>
      </c>
      <c r="F10" s="20">
        <f>'Detallado de la inversión.'!E65</f>
        <v/>
      </c>
      <c r="G10" s="20">
        <f>'Detallado de la inversión.'!F65</f>
        <v/>
      </c>
      <c r="H10" s="20">
        <f>'Detallado de la inversión.'!G65</f>
        <v/>
      </c>
      <c r="I10" s="23">
        <f>'Detallado de la inversión.'!H65</f>
        <v/>
      </c>
      <c r="J10" s="14" t="inlineStr">
        <is>
          <t>Use of funds → Hoja3 Sección A</t>
        </is>
      </c>
    </row>
    <row r="12">
      <c r="E12" s="24" t="inlineStr">
        <is>
          <t>Subtotal equipos (4 PCs)</t>
        </is>
      </c>
      <c r="H12" s="22">
        <f>SUM('Detallado de la inversión.'!G62:G65)</f>
        <v/>
      </c>
      <c r="I12" s="25" t="n"/>
    </row>
    <row r="14">
      <c r="E14" s="19" t="inlineStr">
        <is>
          <t>adecuacion</t>
        </is>
      </c>
    </row>
    <row r="15">
      <c r="E15" s="20">
        <f>'Detallado de la inversión.'!C60</f>
        <v/>
      </c>
      <c r="F15" s="20">
        <f>'Detallado de la inversión.'!E60</f>
        <v/>
      </c>
      <c r="G15" s="20">
        <f>'Detallado de la inversión.'!F60</f>
        <v/>
      </c>
      <c r="H15" s="20">
        <f>'Detallado de la inversión.'!G60</f>
        <v/>
      </c>
      <c r="I15" s="23">
        <f>'Detallado de la inversión.'!H60</f>
        <v/>
      </c>
    </row>
    <row r="16">
      <c r="E16" s="20">
        <f>'Detallado de la inversión.'!C61</f>
        <v/>
      </c>
      <c r="F16" s="20">
        <f>'Detallado de la inversión.'!E61</f>
        <v/>
      </c>
      <c r="G16" s="20">
        <f>'Detallado de la inversión.'!F61</f>
        <v/>
      </c>
      <c r="H16" s="20">
        <f>'Detallado de la inversión.'!G61</f>
        <v/>
      </c>
      <c r="I16" s="23">
        <f>'Detallado de la inversión.'!H61</f>
        <v/>
      </c>
    </row>
    <row r="18">
      <c r="E18" s="24" t="inlineStr">
        <is>
          <t>Subtotal adecuación HQ</t>
        </is>
      </c>
      <c r="H18" s="22">
        <f>SUM('Detallado de la inversión.'!G60:G61)</f>
        <v/>
      </c>
    </row>
    <row r="20">
      <c r="E20" s="19" t="inlineStr">
        <is>
          <t>mano de obra</t>
        </is>
      </c>
    </row>
    <row r="21">
      <c r="E21" s="20">
        <f>'Detallado de la inversión.'!C42</f>
        <v/>
      </c>
      <c r="F21" s="20">
        <f>'Detallado de la inversión.'!E42</f>
        <v/>
      </c>
      <c r="G21" s="20">
        <f>'Detallado de la inversión.'!F42</f>
        <v/>
      </c>
      <c r="H21" s="20">
        <f>'Detallado de la inversión.'!G42</f>
        <v/>
      </c>
      <c r="I21" s="23">
        <f>'Detallado de la inversión.'!H42</f>
        <v/>
      </c>
    </row>
    <row r="22">
      <c r="E22" s="20">
        <f>'Detallado de la inversión.'!C43</f>
        <v/>
      </c>
      <c r="F22" s="20">
        <f>'Detallado de la inversión.'!E43</f>
        <v/>
      </c>
      <c r="G22" s="20">
        <f>'Detallado de la inversión.'!F43</f>
        <v/>
      </c>
      <c r="H22" s="20">
        <f>'Detallado de la inversión.'!G43</f>
        <v/>
      </c>
      <c r="I22" s="23">
        <f>'Detallado de la inversión.'!H43</f>
        <v/>
      </c>
    </row>
    <row r="23">
      <c r="E23" s="20">
        <f>'Detallado de la inversión.'!C44</f>
        <v/>
      </c>
      <c r="F23" s="20">
        <f>'Detallado de la inversión.'!E44</f>
        <v/>
      </c>
      <c r="G23" s="20">
        <f>'Detallado de la inversión.'!F44</f>
        <v/>
      </c>
      <c r="H23" s="20">
        <f>'Detallado de la inversión.'!G44</f>
        <v/>
      </c>
      <c r="I23" s="23">
        <f>'Detallado de la inversión.'!H44</f>
        <v/>
      </c>
    </row>
    <row r="24">
      <c r="E24" s="20">
        <f>'Detallado de la inversión.'!C45</f>
        <v/>
      </c>
      <c r="F24" s="20">
        <f>'Detallado de la inversión.'!E45</f>
        <v/>
      </c>
      <c r="G24" s="20">
        <f>'Detallado de la inversión.'!F45</f>
        <v/>
      </c>
      <c r="H24" s="20">
        <f>'Detallado de la inversión.'!G45</f>
        <v/>
      </c>
      <c r="I24" s="23">
        <f>'Detallado de la inversión.'!H45</f>
        <v/>
      </c>
    </row>
    <row r="25">
      <c r="E25" s="20">
        <f>'Detallado de la inversión.'!C46</f>
        <v/>
      </c>
      <c r="F25" s="20">
        <f>'Detallado de la inversión.'!E46</f>
        <v/>
      </c>
      <c r="G25" s="20">
        <f>'Detallado de la inversión.'!F46</f>
        <v/>
      </c>
      <c r="H25" s="20">
        <f>'Detallado de la inversión.'!G46</f>
        <v/>
      </c>
      <c r="I25" s="23">
        <f>'Detallado de la inversión.'!H46</f>
        <v/>
      </c>
    </row>
    <row r="26">
      <c r="E26" s="20">
        <f>'Detallado de la inversión.'!C47</f>
        <v/>
      </c>
      <c r="F26" s="20">
        <f>'Detallado de la inversión.'!E47</f>
        <v/>
      </c>
      <c r="G26" s="20">
        <f>'Detallado de la inversión.'!F47</f>
        <v/>
      </c>
      <c r="H26" s="20">
        <f>'Detallado de la inversión.'!G47</f>
        <v/>
      </c>
      <c r="I26" s="23">
        <f>'Detallado de la inversión.'!H47</f>
        <v/>
      </c>
    </row>
    <row r="27">
      <c r="E27" s="20">
        <f>'Detallado de la inversión.'!C48</f>
        <v/>
      </c>
      <c r="F27" s="20">
        <f>'Detallado de la inversión.'!E48</f>
        <v/>
      </c>
      <c r="G27" s="20">
        <f>'Detallado de la inversión.'!F48</f>
        <v/>
      </c>
      <c r="H27" s="20">
        <f>'Detallado de la inversión.'!G48</f>
        <v/>
      </c>
      <c r="I27" s="23">
        <f>'Detallado de la inversión.'!H48</f>
        <v/>
      </c>
    </row>
    <row r="28">
      <c r="E28" s="21">
        <f>'Detallado de la inversión.'!C49</f>
        <v/>
      </c>
      <c r="H28" s="22">
        <f>'Detallado de la inversión.'!G49</f>
        <v/>
      </c>
      <c r="I28" s="23">
        <f>'Detallado de la inversión.'!H49</f>
        <v/>
      </c>
    </row>
    <row r="30">
      <c r="E30" s="19" t="inlineStr">
        <is>
          <t>transporte</t>
        </is>
      </c>
    </row>
    <row r="31">
      <c r="E31" s="20">
        <f>'Detallado de la inversión.'!C54</f>
        <v/>
      </c>
      <c r="F31" s="20">
        <f>'Detallado de la inversión.'!E54</f>
        <v/>
      </c>
      <c r="G31" s="20">
        <f>'Detallado de la inversión.'!F54</f>
        <v/>
      </c>
      <c r="H31" s="20">
        <f>'Detallado de la inversión.'!G54</f>
        <v/>
      </c>
      <c r="I31" s="23">
        <f>'Detallado de la inversión.'!H54</f>
        <v/>
      </c>
    </row>
    <row r="32">
      <c r="E32" s="20">
        <f>'Detallado de la inversión.'!C55</f>
        <v/>
      </c>
      <c r="F32" s="20">
        <f>'Detallado de la inversión.'!E55</f>
        <v/>
      </c>
      <c r="G32" s="20">
        <f>'Detallado de la inversión.'!F55</f>
        <v/>
      </c>
      <c r="H32" s="20">
        <f>'Detallado de la inversión.'!G55</f>
        <v/>
      </c>
      <c r="I32" s="23">
        <f>'Detallado de la inversión.'!H55</f>
        <v/>
      </c>
    </row>
    <row r="33">
      <c r="E33" s="20">
        <f>'Detallado de la inversión.'!C56</f>
        <v/>
      </c>
      <c r="F33" s="20">
        <f>'Detallado de la inversión.'!E56</f>
        <v/>
      </c>
      <c r="G33" s="20">
        <f>'Detallado de la inversión.'!F56</f>
        <v/>
      </c>
      <c r="H33" s="20">
        <f>'Detallado de la inversión.'!G56</f>
        <v/>
      </c>
      <c r="I33" s="23">
        <f>'Detallado de la inversión.'!H56</f>
        <v/>
      </c>
    </row>
    <row r="34">
      <c r="E34" s="21">
        <f>'Detallado de la inversión.'!C57</f>
        <v/>
      </c>
      <c r="H34" s="22">
        <f>'Detallado de la inversión.'!G57</f>
        <v/>
      </c>
      <c r="I34" s="23">
        <f>'Detallado de la inversión.'!H57</f>
        <v/>
      </c>
    </row>
    <row r="36">
      <c r="E36" s="19" t="inlineStr">
        <is>
          <t>alquiler</t>
        </is>
      </c>
    </row>
    <row r="37">
      <c r="E37" s="20">
        <f>'Detallado de la inversión.'!C95</f>
        <v/>
      </c>
      <c r="F37" s="20">
        <f>'Detallado de la inversión.'!E95</f>
        <v/>
      </c>
      <c r="G37" s="20">
        <f>'Detallado de la inversión.'!F95</f>
        <v/>
      </c>
      <c r="H37" s="20">
        <f>'Detallado de la inversión.'!G95</f>
        <v/>
      </c>
      <c r="I37" s="23">
        <f>'Detallado de la inversión.'!H95</f>
        <v/>
      </c>
    </row>
    <row r="39">
      <c r="E39" s="13" t="inlineStr">
        <is>
          <t>Depósito HQ (one-shot) incluido en bloque adecuación. Arriendo mensual post-Day-D — ref. burn Detallado.</t>
        </is>
      </c>
    </row>
    <row r="41">
      <c r="E41" s="19" t="inlineStr">
        <is>
          <t>constitucion empresa y permisos</t>
        </is>
      </c>
    </row>
    <row r="42">
      <c r="E42" s="20">
        <f>'Detallado de la inversión.'!C11</f>
        <v/>
      </c>
      <c r="F42" s="20">
        <f>'Detallado de la inversión.'!E11</f>
        <v/>
      </c>
      <c r="G42" s="20">
        <f>'Detallado de la inversión.'!F11</f>
        <v/>
      </c>
      <c r="H42" s="20">
        <f>'Detallado de la inversión.'!G11</f>
        <v/>
      </c>
      <c r="I42" s="23">
        <f>'Detallado de la inversión.'!H11</f>
        <v/>
      </c>
    </row>
    <row r="43">
      <c r="E43" s="20">
        <f>'Detallado de la inversión.'!C12</f>
        <v/>
      </c>
      <c r="F43" s="20">
        <f>'Detallado de la inversión.'!E12</f>
        <v/>
      </c>
      <c r="G43" s="20">
        <f>'Detallado de la inversión.'!F12</f>
        <v/>
      </c>
      <c r="H43" s="20">
        <f>'Detallado de la inversión.'!G12</f>
        <v/>
      </c>
      <c r="I43" s="23">
        <f>'Detallado de la inversión.'!H12</f>
        <v/>
      </c>
    </row>
    <row r="44">
      <c r="E44" s="20">
        <f>'Detallado de la inversión.'!C13</f>
        <v/>
      </c>
      <c r="F44" s="20">
        <f>'Detallado de la inversión.'!E13</f>
        <v/>
      </c>
      <c r="G44" s="20">
        <f>'Detallado de la inversión.'!F13</f>
        <v/>
      </c>
      <c r="H44" s="20">
        <f>'Detallado de la inversión.'!G13</f>
        <v/>
      </c>
      <c r="I44" s="23">
        <f>'Detallado de la inversión.'!H13</f>
        <v/>
      </c>
    </row>
    <row r="45">
      <c r="E45" s="20">
        <f>'Detallado de la inversión.'!C14</f>
        <v/>
      </c>
      <c r="F45" s="20">
        <f>'Detallado de la inversión.'!E14</f>
        <v/>
      </c>
      <c r="G45" s="20">
        <f>'Detallado de la inversión.'!F14</f>
        <v/>
      </c>
      <c r="H45" s="20">
        <f>'Detallado de la inversión.'!G14</f>
        <v/>
      </c>
      <c r="I45" s="23">
        <f>'Detallado de la inversión.'!H14</f>
        <v/>
      </c>
    </row>
    <row r="46">
      <c r="E46" s="20">
        <f>'Detallado de la inversión.'!C15</f>
        <v/>
      </c>
      <c r="F46" s="20">
        <f>'Detallado de la inversión.'!E15</f>
        <v/>
      </c>
      <c r="G46" s="20">
        <f>'Detallado de la inversión.'!F15</f>
        <v/>
      </c>
      <c r="H46" s="20">
        <f>'Detallado de la inversión.'!G15</f>
        <v/>
      </c>
      <c r="I46" s="23">
        <f>'Detallado de la inversión.'!H15</f>
        <v/>
      </c>
    </row>
    <row r="47">
      <c r="E47" s="20">
        <f>'Detallado de la inversión.'!C16</f>
        <v/>
      </c>
      <c r="F47" s="20">
        <f>'Detallado de la inversión.'!E16</f>
        <v/>
      </c>
      <c r="G47" s="20">
        <f>'Detallado de la inversión.'!F16</f>
        <v/>
      </c>
      <c r="H47" s="20">
        <f>'Detallado de la inversión.'!G16</f>
        <v/>
      </c>
      <c r="I47" s="23">
        <f>'Detallado de la inversión.'!H16</f>
        <v/>
      </c>
    </row>
    <row r="48">
      <c r="E48" s="20">
        <f>'Detallado de la inversión.'!C17</f>
        <v/>
      </c>
      <c r="F48" s="20">
        <f>'Detallado de la inversión.'!E17</f>
        <v/>
      </c>
      <c r="G48" s="20">
        <f>'Detallado de la inversión.'!F17</f>
        <v/>
      </c>
      <c r="H48" s="20">
        <f>'Detallado de la inversión.'!G17</f>
        <v/>
      </c>
      <c r="I48" s="23">
        <f>'Detallado de la inversión.'!H17</f>
        <v/>
      </c>
    </row>
    <row r="49">
      <c r="E49" s="21">
        <f>'Detallado de la inversión.'!C18</f>
        <v/>
      </c>
      <c r="H49" s="22">
        <f>'Detallado de la inversión.'!G18</f>
        <v/>
      </c>
      <c r="I49" s="23">
        <f>'Detallado de la inversión.'!H18</f>
        <v/>
      </c>
    </row>
    <row r="51">
      <c r="E51" s="19" t="inlineStr">
        <is>
          <t>marketing — intro mercado / demo</t>
        </is>
      </c>
    </row>
    <row r="52">
      <c r="E52" s="20">
        <f>'Detallado de la inversión.'!C25</f>
        <v/>
      </c>
      <c r="F52" s="20">
        <f>'Detallado de la inversión.'!E25</f>
        <v/>
      </c>
      <c r="G52" s="20">
        <f>'Detallado de la inversión.'!F25</f>
        <v/>
      </c>
      <c r="H52" s="20">
        <f>'Detallado de la inversión.'!G25</f>
        <v/>
      </c>
      <c r="I52" s="23">
        <f>'Detallado de la inversión.'!H25</f>
        <v/>
      </c>
    </row>
    <row r="53">
      <c r="E53" s="20">
        <f>'Detallado de la inversión.'!C26</f>
        <v/>
      </c>
      <c r="F53" s="20">
        <f>'Detallado de la inversión.'!E26</f>
        <v/>
      </c>
      <c r="G53" s="20">
        <f>'Detallado de la inversión.'!F26</f>
        <v/>
      </c>
      <c r="H53" s="20">
        <f>'Detallado de la inversión.'!G26</f>
        <v/>
      </c>
      <c r="I53" s="23">
        <f>'Detallado de la inversión.'!H26</f>
        <v/>
      </c>
    </row>
    <row r="54">
      <c r="E54" s="20">
        <f>'Detallado de la inversión.'!C27</f>
        <v/>
      </c>
      <c r="F54" s="20">
        <f>'Detallado de la inversión.'!E27</f>
        <v/>
      </c>
      <c r="G54" s="20">
        <f>'Detallado de la inversión.'!F27</f>
        <v/>
      </c>
      <c r="H54" s="20">
        <f>'Detallado de la inversión.'!G27</f>
        <v/>
      </c>
      <c r="I54" s="23">
        <f>'Detallado de la inversión.'!H27</f>
        <v/>
      </c>
    </row>
    <row r="55">
      <c r="E55" s="20">
        <f>'Detallado de la inversión.'!C28</f>
        <v/>
      </c>
      <c r="F55" s="20">
        <f>'Detallado de la inversión.'!E28</f>
        <v/>
      </c>
      <c r="G55" s="20">
        <f>'Detallado de la inversión.'!F28</f>
        <v/>
      </c>
      <c r="H55" s="20">
        <f>'Detallado de la inversión.'!G28</f>
        <v/>
      </c>
      <c r="I55" s="23">
        <f>'Detallado de la inversión.'!H28</f>
        <v/>
      </c>
    </row>
    <row r="56">
      <c r="E56" s="20">
        <f>'Detallado de la inversión.'!C29</f>
        <v/>
      </c>
      <c r="F56" s="20">
        <f>'Detallado de la inversión.'!E29</f>
        <v/>
      </c>
      <c r="G56" s="20">
        <f>'Detallado de la inversión.'!F29</f>
        <v/>
      </c>
      <c r="H56" s="20">
        <f>'Detallado de la inversión.'!G29</f>
        <v/>
      </c>
      <c r="I56" s="23">
        <f>'Detallado de la inversión.'!H29</f>
        <v/>
      </c>
    </row>
    <row r="57">
      <c r="E57" s="20">
        <f>'Detallado de la inversión.'!C30</f>
        <v/>
      </c>
      <c r="F57" s="20">
        <f>'Detallado de la inversión.'!E30</f>
        <v/>
      </c>
      <c r="G57" s="20">
        <f>'Detallado de la inversión.'!F30</f>
        <v/>
      </c>
      <c r="H57" s="20">
        <f>'Detallado de la inversión.'!G30</f>
        <v/>
      </c>
      <c r="I57" s="23">
        <f>'Detallado de la inversión.'!H30</f>
        <v/>
      </c>
    </row>
    <row r="58">
      <c r="E58" s="21">
        <f>'Detallado de la inversión.'!C31</f>
        <v/>
      </c>
      <c r="H58" s="22">
        <f>'Detallado de la inversión.'!G31</f>
        <v/>
      </c>
      <c r="I58" s="23">
        <f>'Detallado de la inversión.'!H31</f>
        <v/>
      </c>
    </row>
    <row r="60">
      <c r="E60" s="19" t="inlineStr">
        <is>
          <t>marketing — pre-lanzamiento (3 meses)</t>
        </is>
      </c>
    </row>
    <row r="61">
      <c r="E61" s="20">
        <f>'Detallado de la inversión.'!C34</f>
        <v/>
      </c>
      <c r="F61" s="20">
        <f>'Detallado de la inversión.'!E34</f>
        <v/>
      </c>
      <c r="G61" s="20">
        <f>'Detallado de la inversión.'!F34</f>
        <v/>
      </c>
      <c r="H61" s="20">
        <f>'Detallado de la inversión.'!G34</f>
        <v/>
      </c>
      <c r="I61" s="23">
        <f>'Detallado de la inversión.'!H34</f>
        <v/>
      </c>
    </row>
    <row r="62">
      <c r="E62" s="20">
        <f>'Detallado de la inversión.'!C35</f>
        <v/>
      </c>
      <c r="F62" s="20">
        <f>'Detallado de la inversión.'!E35</f>
        <v/>
      </c>
      <c r="G62" s="20">
        <f>'Detallado de la inversión.'!F35</f>
        <v/>
      </c>
      <c r="H62" s="20">
        <f>'Detallado de la inversión.'!G35</f>
        <v/>
      </c>
      <c r="I62" s="23">
        <f>'Detallado de la inversión.'!H35</f>
        <v/>
      </c>
    </row>
    <row r="63">
      <c r="E63" s="20">
        <f>'Detallado de la inversión.'!C36</f>
        <v/>
      </c>
      <c r="F63" s="20">
        <f>'Detallado de la inversión.'!E36</f>
        <v/>
      </c>
      <c r="G63" s="20">
        <f>'Detallado de la inversión.'!F36</f>
        <v/>
      </c>
      <c r="H63" s="20">
        <f>'Detallado de la inversión.'!G36</f>
        <v/>
      </c>
      <c r="I63" s="23">
        <f>'Detallado de la inversión.'!H36</f>
        <v/>
      </c>
    </row>
    <row r="64">
      <c r="E64" s="21">
        <f>'Detallado de la inversión.'!C37</f>
        <v/>
      </c>
      <c r="H64" s="22">
        <f>'Detallado de la inversión.'!G37</f>
        <v/>
      </c>
      <c r="I64" s="23">
        <f>'Detallado de la inversión.'!H37</f>
        <v/>
      </c>
    </row>
    <row r="66">
      <c r="E66" s="19" t="inlineStr">
        <is>
          <t>materia (SaaS / hosting / SMS — marketplace)</t>
        </is>
      </c>
    </row>
    <row r="67">
      <c r="E67" s="20">
        <f>'Detallado de la inversión.'!C97</f>
        <v/>
      </c>
      <c r="F67" s="20">
        <f>'Detallado de la inversión.'!E97</f>
        <v/>
      </c>
      <c r="G67" s="20">
        <f>'Detallado de la inversión.'!F97</f>
        <v/>
      </c>
      <c r="H67" s="20">
        <f>'Detallado de la inversión.'!G97</f>
        <v/>
      </c>
      <c r="I67" s="23">
        <f>'Detallado de la inversión.'!H97</f>
        <v/>
      </c>
    </row>
    <row r="69">
      <c r="E69" s="13" t="inlineStr">
        <is>
          <t>Equivalente digital marketplace (hosting/SMS). Desglose Detallado + unit economics → ESTA SI VALE (~154 USD/mes).</t>
        </is>
      </c>
    </row>
  </sheetData>
  <mergeCells count="4">
    <mergeCell ref="E39:I39"/>
    <mergeCell ref="E3:I3"/>
    <mergeCell ref="E69:I69"/>
    <mergeCell ref="J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mensual</t>
        </is>
      </c>
    </row>
    <row r="2">
      <c r="B2" s="6" t="inlineStr">
        <is>
          <t>Meta Ads M1-6 (USD)</t>
        </is>
      </c>
      <c r="C2" s="7" t="n">
        <v>800</v>
      </c>
    </row>
    <row r="3">
      <c r="B3" s="6" t="inlineStr">
        <is>
          <t>Meta Ads M7-12 (USD)</t>
        </is>
      </c>
      <c r="C3" s="7" t="n">
        <v>500</v>
      </c>
    </row>
    <row r="4">
      <c r="B4" s="6" t="inlineStr">
        <is>
          <t>Valla pequeña desde M3 (USD)</t>
        </is>
      </c>
      <c r="C4" s="7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3:W88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12" customWidth="1" min="10" max="10"/>
    <col width="28" customWidth="1" min="13" max="13"/>
    <col width="12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2" customWidth="1" min="22" max="22"/>
    <col width="12" customWidth="1" min="23" max="23"/>
  </cols>
  <sheetData>
    <row r="3">
      <c r="E3" s="13" t="inlineStr">
        <is>
          <t>Datos ZonixPharma — espejo Detallado/Hoja1. Bloques ESTA = vista due diligence. TOTAL SAFE oficial → Hoja3 §A. No sumar bloques al SAFE.</t>
        </is>
      </c>
    </row>
    <row r="7">
      <c r="E7" s="16" t="inlineStr">
        <is>
          <t>Zonix Pharma — ESTA SI VALE (espejo Pizza v3.8.2)</t>
        </is>
      </c>
      <c r="M7" s="16" t="inlineStr">
        <is>
          <t>Zonix Pharma — Unit economics y escenarios</t>
        </is>
      </c>
    </row>
    <row r="8">
      <c r="P8" s="26" t="inlineStr">
        <is>
          <t>gastos fijos mensuales (ref. burn/activas — no sumar SAFE)</t>
        </is>
      </c>
    </row>
    <row r="9">
      <c r="E9" s="2" t="inlineStr">
        <is>
          <t>Descripción</t>
        </is>
      </c>
      <c r="F9" s="2" t="inlineStr">
        <is>
          <t>Cant.</t>
        </is>
      </c>
      <c r="G9" s="2" t="inlineStr">
        <is>
          <t>USD/u</t>
        </is>
      </c>
      <c r="H9" s="2" t="inlineStr">
        <is>
          <t>Total USD</t>
        </is>
      </c>
      <c r="I9" s="2" t="inlineStr">
        <is>
          <t>% SAFE</t>
        </is>
      </c>
      <c r="J9" s="2" t="inlineStr">
        <is>
          <t>Año 2 ref.</t>
        </is>
      </c>
      <c r="M9" s="2" t="inlineStr">
        <is>
          <t>Concepto</t>
        </is>
      </c>
      <c r="O9" s="2" t="inlineStr">
        <is>
          <t>Valor</t>
        </is>
      </c>
      <c r="S9" s="2" t="inlineStr">
        <is>
          <t>Fuente</t>
        </is>
      </c>
    </row>
    <row r="10">
      <c r="E10" s="27" t="inlineStr">
        <is>
          <t>Factor Año 2 MO (+40%)</t>
        </is>
      </c>
      <c r="J10" s="23" t="n">
        <v>0.4</v>
      </c>
      <c r="M10" s="6" t="inlineStr">
        <is>
          <t>ARPF placeholder (USD/mes)</t>
        </is>
      </c>
      <c r="O10" s="7" t="n">
        <v>50</v>
      </c>
      <c r="S10" s="6" t="inlineStr">
        <is>
          <t>UNIT_ECONOMICS</t>
        </is>
      </c>
    </row>
    <row r="11">
      <c r="E11" s="19" t="inlineStr">
        <is>
          <t>Mano de obra (Fase 0 — 3 meses)</t>
        </is>
      </c>
      <c r="M11" s="6" t="inlineStr">
        <is>
          <t>CAC farmacia (USD)</t>
        </is>
      </c>
      <c r="O11" s="7" t="n">
        <v>139</v>
      </c>
      <c r="S11" s="6" t="inlineStr">
        <is>
          <t>UNIT_ECONOMICS</t>
        </is>
      </c>
    </row>
    <row r="12">
      <c r="E12" s="20">
        <f>'Detallado de la inversión.'!C42</f>
        <v/>
      </c>
      <c r="F12" s="20">
        <f>'Detallado de la inversión.'!E42</f>
        <v/>
      </c>
      <c r="G12" s="20">
        <f>'Detallado de la inversión.'!F42</f>
        <v/>
      </c>
      <c r="H12" s="20">
        <f>'Detallado de la inversión.'!G42</f>
        <v/>
      </c>
      <c r="I12" s="23">
        <f>'Detallado de la inversión.'!H42</f>
        <v/>
      </c>
      <c r="J12" s="22">
        <f>H12*(1+$J$10)</f>
        <v/>
      </c>
      <c r="M12" s="6" t="inlineStr">
        <is>
          <t>Churn mensual target</t>
        </is>
      </c>
      <c r="O12" s="9" t="n">
        <v>0.05</v>
      </c>
      <c r="P12" s="24" t="inlineStr">
        <is>
          <t>Escenario margen 50%-30%</t>
        </is>
      </c>
      <c r="Q12" s="25" t="n"/>
      <c r="S12" s="6" t="inlineStr">
        <is>
          <t>UNIT_ECONOMICS</t>
        </is>
      </c>
    </row>
    <row r="13">
      <c r="E13" s="20">
        <f>'Detallado de la inversión.'!C43</f>
        <v/>
      </c>
      <c r="F13" s="20">
        <f>'Detallado de la inversión.'!E43</f>
        <v/>
      </c>
      <c r="G13" s="20">
        <f>'Detallado de la inversión.'!F43</f>
        <v/>
      </c>
      <c r="H13" s="20">
        <f>'Detallado de la inversión.'!G43</f>
        <v/>
      </c>
      <c r="I13" s="23">
        <f>'Detallado de la inversión.'!H43</f>
        <v/>
      </c>
      <c r="J13" s="22">
        <f>H13*(1+$J$10)</f>
        <v/>
      </c>
      <c r="M13" s="6" t="inlineStr">
        <is>
          <t>LTV (USD)</t>
        </is>
      </c>
      <c r="O13" s="7" t="n">
        <v>1000</v>
      </c>
      <c r="P13" s="20" t="inlineStr">
        <is>
          <t>Mes 1</t>
        </is>
      </c>
      <c r="Q13" s="22">
        <f>IF('Año 1'!D19=0,0,='ESTA SI VALE'!$I$73/'Año 1'!D19)</f>
        <v/>
      </c>
      <c r="S13" s="6" t="inlineStr">
        <is>
          <t>UNIT_ECONOMICS</t>
        </is>
      </c>
    </row>
    <row r="14">
      <c r="E14" s="20">
        <f>'Detallado de la inversión.'!C44</f>
        <v/>
      </c>
      <c r="F14" s="20">
        <f>'Detallado de la inversión.'!E44</f>
        <v/>
      </c>
      <c r="G14" s="20">
        <f>'Detallado de la inversión.'!F44</f>
        <v/>
      </c>
      <c r="H14" s="20">
        <f>'Detallado de la inversión.'!G44</f>
        <v/>
      </c>
      <c r="I14" s="23">
        <f>'Detallado de la inversión.'!H44</f>
        <v/>
      </c>
      <c r="J14" s="22">
        <f>H14*(1+$J$10)</f>
        <v/>
      </c>
      <c r="M14" s="6" t="inlineStr">
        <is>
          <t>LTV / CAC</t>
        </is>
      </c>
      <c r="O14" s="7" t="n">
        <v>7.2</v>
      </c>
      <c r="P14" s="20" t="inlineStr">
        <is>
          <t>Mes 2</t>
        </is>
      </c>
      <c r="Q14" s="22">
        <f>H55</f>
        <v/>
      </c>
      <c r="S14" s="6" t="inlineStr">
        <is>
          <t>UNIT_ECONOMICS</t>
        </is>
      </c>
    </row>
    <row r="15">
      <c r="E15" s="20">
        <f>'Detallado de la inversión.'!C45</f>
        <v/>
      </c>
      <c r="F15" s="20">
        <f>'Detallado de la inversión.'!E45</f>
        <v/>
      </c>
      <c r="G15" s="20">
        <f>'Detallado de la inversión.'!F45</f>
        <v/>
      </c>
      <c r="H15" s="20">
        <f>'Detallado de la inversión.'!G45</f>
        <v/>
      </c>
      <c r="I15" s="23">
        <f>'Detallado de la inversión.'!H45</f>
        <v/>
      </c>
      <c r="J15" s="22">
        <f>H15*(1+$J$10)</f>
        <v/>
      </c>
      <c r="M15" s="6" t="inlineStr">
        <is>
          <t>Payback CAC (meses)</t>
        </is>
      </c>
      <c r="O15" s="7" t="n">
        <v>2.8</v>
      </c>
      <c r="P15" s="20" t="inlineStr">
        <is>
          <t>Mes 3</t>
        </is>
      </c>
      <c r="Q15" s="22">
        <f>H55</f>
        <v/>
      </c>
      <c r="S15" s="6" t="inlineStr">
        <is>
          <t>UNIT_ECONOMICS</t>
        </is>
      </c>
    </row>
    <row r="16">
      <c r="E16" s="20">
        <f>'Detallado de la inversión.'!C46</f>
        <v/>
      </c>
      <c r="F16" s="20">
        <f>'Detallado de la inversión.'!E46</f>
        <v/>
      </c>
      <c r="G16" s="20">
        <f>'Detallado de la inversión.'!F46</f>
        <v/>
      </c>
      <c r="H16" s="20">
        <f>'Detallado de la inversión.'!G46</f>
        <v/>
      </c>
      <c r="I16" s="23">
        <f>'Detallado de la inversión.'!H46</f>
        <v/>
      </c>
      <c r="J16" s="22">
        <f>H16*(1+$J$10)</f>
        <v/>
      </c>
      <c r="M16" s="6" t="inlineStr">
        <is>
          <t>Margen bruto plataforma</t>
        </is>
      </c>
      <c r="O16" s="9" t="n">
        <v>0.92</v>
      </c>
      <c r="P16" s="20" t="inlineStr">
        <is>
          <t>TOTAL ref.</t>
        </is>
      </c>
      <c r="Q16" s="22">
        <f>SUM(Q13:Q15)</f>
        <v/>
      </c>
      <c r="S16" s="6" t="inlineStr">
        <is>
          <t>UNIT_ECONOMICS</t>
        </is>
      </c>
    </row>
    <row r="17">
      <c r="E17" s="20">
        <f>'Detallado de la inversión.'!C47</f>
        <v/>
      </c>
      <c r="F17" s="20">
        <f>'Detallado de la inversión.'!E47</f>
        <v/>
      </c>
      <c r="G17" s="20">
        <f>'Detallado de la inversión.'!F47</f>
        <v/>
      </c>
      <c r="H17" s="20">
        <f>'Detallado de la inversión.'!G47</f>
        <v/>
      </c>
      <c r="I17" s="23">
        <f>'Detallado de la inversión.'!H47</f>
        <v/>
      </c>
      <c r="J17" s="22">
        <f>H17*(1+$J$10)</f>
        <v/>
      </c>
      <c r="M17" s="6" t="inlineStr">
        <is>
          <t>Cuota Basic (USD/mes)</t>
        </is>
      </c>
      <c r="O17" s="7" t="n">
        <v>25</v>
      </c>
      <c r="P17" s="24" t="inlineStr">
        <is>
          <t>Escenario margen 60%-40%</t>
        </is>
      </c>
      <c r="Q17" s="25" t="n"/>
      <c r="S17" s="6" t="inlineStr">
        <is>
          <t>PROPUESTA B2B §5</t>
        </is>
      </c>
    </row>
    <row r="18">
      <c r="E18" s="20">
        <f>'Detallado de la inversión.'!C48</f>
        <v/>
      </c>
      <c r="F18" s="20">
        <f>'Detallado de la inversión.'!E48</f>
        <v/>
      </c>
      <c r="G18" s="20">
        <f>'Detallado de la inversión.'!F48</f>
        <v/>
      </c>
      <c r="H18" s="20">
        <f>'Detallado de la inversión.'!G48</f>
        <v/>
      </c>
      <c r="I18" s="23">
        <f>'Detallado de la inversión.'!H48</f>
        <v/>
      </c>
      <c r="J18" s="22">
        <f>H18*(1+$J$10)</f>
        <v/>
      </c>
      <c r="M18" s="6" t="inlineStr">
        <is>
          <t>Cuota Pro (USD/mes)</t>
        </is>
      </c>
      <c r="O18" s="7" t="n">
        <v>40</v>
      </c>
      <c r="P18" s="20" t="inlineStr">
        <is>
          <t>Mes 1</t>
        </is>
      </c>
      <c r="Q18" s="22">
        <f>IF('Año 1'!D19=0,0,='ESTA SI VALE'!$I$73/'Año 1'!D19)</f>
        <v/>
      </c>
      <c r="S18" s="6" t="inlineStr">
        <is>
          <t>PROPUESTA B2B §5</t>
        </is>
      </c>
    </row>
    <row r="19">
      <c r="E19" s="21">
        <f>'Detallado de la inversión.'!C49</f>
        <v/>
      </c>
      <c r="H19" s="22">
        <f>'Detallado de la inversión.'!G49</f>
        <v/>
      </c>
      <c r="I19" s="23">
        <f>'Detallado de la inversión.'!H49</f>
        <v/>
      </c>
      <c r="J19" s="22">
        <f>SUM(J12:J18)</f>
        <v/>
      </c>
      <c r="M19" s="6" t="inlineStr">
        <is>
          <t>Cuota Enterprise (USD/mes)</t>
        </is>
      </c>
      <c r="O19" s="7" t="n">
        <v>55</v>
      </c>
      <c r="P19" s="20" t="inlineStr">
        <is>
          <t>Mes 2</t>
        </is>
      </c>
      <c r="Q19" s="22">
        <f>H55</f>
        <v/>
      </c>
      <c r="S19" s="6" t="inlineStr">
        <is>
          <t>PROPUESTA B2B §5</t>
        </is>
      </c>
    </row>
    <row r="20">
      <c r="M20" s="6" t="inlineStr">
        <is>
          <t>Mix Basic / Pro / Enterprise</t>
        </is>
      </c>
      <c r="O20" s="6" t="inlineStr">
        <is>
          <t>60/30/10</t>
        </is>
      </c>
      <c r="P20" s="20" t="inlineStr">
        <is>
          <t>Mes 3</t>
        </is>
      </c>
      <c r="Q20" s="22">
        <f>H55</f>
        <v/>
      </c>
      <c r="S20" s="6" t="inlineStr">
        <is>
          <t>PROYECCION §1.2</t>
        </is>
      </c>
    </row>
    <row r="21">
      <c r="E21" s="27" t="inlineStr">
        <is>
          <t>Factor Año 2 transporte (+30%)</t>
        </is>
      </c>
      <c r="J21" s="23" t="n">
        <v>0.3</v>
      </c>
      <c r="M21" s="6" t="inlineStr">
        <is>
          <t>Farmacias activas equilibrio Lean (M12 v3.3)</t>
        </is>
      </c>
      <c r="O21" s="7" t="n">
        <v>159</v>
      </c>
      <c r="P21" s="20" t="inlineStr">
        <is>
          <t>TOTAL ref.</t>
        </is>
      </c>
      <c r="Q21" s="22">
        <f>SUM(Q18:Q20)</f>
        <v/>
      </c>
      <c r="S21" s="6" t="inlineStr">
        <is>
          <t>PROYECCION — 4× Sales</t>
        </is>
      </c>
    </row>
    <row r="22">
      <c r="E22" s="19" t="inlineStr">
        <is>
          <t>Transporte local (B2B / demo)</t>
        </is>
      </c>
      <c r="P22" s="24" t="inlineStr">
        <is>
          <t>Escenario margen 70%-50%</t>
        </is>
      </c>
      <c r="Q22" s="25" t="n"/>
    </row>
    <row r="23">
      <c r="E23" s="20">
        <f>'Detallado de la inversión.'!C54</f>
        <v/>
      </c>
      <c r="F23" s="20">
        <f>'Detallado de la inversión.'!E54</f>
        <v/>
      </c>
      <c r="G23" s="20">
        <f>'Detallado de la inversión.'!F54</f>
        <v/>
      </c>
      <c r="H23" s="20">
        <f>'Detallado de la inversión.'!G54</f>
        <v/>
      </c>
      <c r="I23" s="23">
        <f>'Detallado de la inversión.'!H54</f>
        <v/>
      </c>
      <c r="J23" s="22">
        <f>H23*(1+$J$21)</f>
        <v/>
      </c>
      <c r="M23" s="12" t="inlineStr">
        <is>
          <t>ESCENARIOS CAPITAL (tiers)</t>
        </is>
      </c>
      <c r="N23" s="12" t="n"/>
      <c r="O23" s="12" t="n"/>
      <c r="P23" s="24" t="inlineStr">
        <is>
          <t>Mes 1</t>
        </is>
      </c>
      <c r="Q23" s="28">
        <f>IF('Año 1'!D19=0,0,='ESTA SI VALE'!$I$73/'Año 1'!D19)</f>
        <v/>
      </c>
    </row>
    <row r="24">
      <c r="E24" s="20">
        <f>'Detallado de la inversión.'!C55</f>
        <v/>
      </c>
      <c r="F24" s="20">
        <f>'Detallado de la inversión.'!E55</f>
        <v/>
      </c>
      <c r="G24" s="20">
        <f>'Detallado de la inversión.'!F55</f>
        <v/>
      </c>
      <c r="H24" s="20">
        <f>'Detallado de la inversión.'!G55</f>
        <v/>
      </c>
      <c r="I24" s="23">
        <f>'Detallado de la inversión.'!H55</f>
        <v/>
      </c>
      <c r="J24" s="22">
        <f>H24*(1+$J$21)</f>
        <v/>
      </c>
      <c r="M24" s="6" t="inlineStr">
        <is>
          <t>Tier</t>
        </is>
      </c>
      <c r="O24" s="6" t="inlineStr">
        <is>
          <t>Capital</t>
        </is>
      </c>
      <c r="P24" s="20" t="inlineStr">
        <is>
          <t>Mes 2</t>
        </is>
      </c>
      <c r="Q24" s="22">
        <f>H55</f>
        <v/>
      </c>
      <c r="S24" s="6" t="inlineStr">
        <is>
          <t>SAFE cap</t>
        </is>
      </c>
    </row>
    <row r="25">
      <c r="E25" s="20">
        <f>'Detallado de la inversión.'!C56</f>
        <v/>
      </c>
      <c r="F25" s="20">
        <f>'Detallado de la inversión.'!E56</f>
        <v/>
      </c>
      <c r="G25" s="20">
        <f>'Detallado de la inversión.'!F56</f>
        <v/>
      </c>
      <c r="H25" s="20">
        <f>'Detallado de la inversión.'!G56</f>
        <v/>
      </c>
      <c r="I25" s="23">
        <f>'Detallado de la inversión.'!H56</f>
        <v/>
      </c>
      <c r="J25" s="22">
        <f>H25*(1+$J$21)</f>
        <v/>
      </c>
      <c r="M25" s="6" t="inlineStr">
        <is>
          <t>Lean — bootstrap 4× Sales (Carabobo) — capital (USD)</t>
        </is>
      </c>
      <c r="O25" s="7" t="n">
        <v>111988</v>
      </c>
      <c r="P25" s="22" t="inlineStr">
        <is>
          <t>Mes 3</t>
        </is>
      </c>
      <c r="Q25" s="22">
        <f>H55</f>
        <v/>
      </c>
      <c r="S25" s="7" t="n">
        <v>600000</v>
      </c>
    </row>
    <row r="26">
      <c r="E26" s="21">
        <f>'Detallado de la inversión.'!C57</f>
        <v/>
      </c>
      <c r="H26" s="22">
        <f>'Detallado de la inversión.'!G57</f>
        <v/>
      </c>
      <c r="I26" s="23">
        <f>'Detallado de la inversión.'!H57</f>
        <v/>
      </c>
      <c r="J26" s="22">
        <f>SUM(J23:J25)</f>
        <v/>
      </c>
      <c r="M26" s="6" t="inlineStr">
        <is>
          <t>Lean+ — 4× Sales curva ×1,15 (mismo capital Lean) — capital (USD)</t>
        </is>
      </c>
      <c r="O26" s="7" t="n">
        <v>111988</v>
      </c>
      <c r="P26" s="22" t="inlineStr">
        <is>
          <t>TOTAL ref.</t>
        </is>
      </c>
      <c r="Q26" s="22">
        <f>SUM(Q23:Q25)</f>
        <v/>
      </c>
      <c r="S26" s="7" t="n">
        <v>600000</v>
      </c>
    </row>
    <row r="27">
      <c r="M27" s="6" t="inlineStr">
        <is>
          <t>Base — piso de mercado — capital (USD)</t>
        </is>
      </c>
      <c r="O27" s="7" t="n">
        <v>157268</v>
      </c>
      <c r="P27" s="7" t="n">
        <v>10898</v>
      </c>
      <c r="Q27" s="7" t="n">
        <v>159</v>
      </c>
      <c r="S27" s="7" t="n">
        <v>912814</v>
      </c>
    </row>
    <row r="28">
      <c r="E28" s="27" t="inlineStr">
        <is>
          <t>Constitución one-shot (sin escalación Año 2)</t>
        </is>
      </c>
      <c r="J28" s="23" t="n">
        <v>0</v>
      </c>
      <c r="M28" s="6" t="inlineStr">
        <is>
          <t>Growth — mercado pleno — capital (USD)</t>
        </is>
      </c>
      <c r="O28" s="7" t="n">
        <v>187478</v>
      </c>
      <c r="P28" s="7" t="n">
        <v>12698</v>
      </c>
      <c r="Q28" s="7" t="n">
        <v>159</v>
      </c>
      <c r="S28" s="7" t="n">
        <v>1205345</v>
      </c>
    </row>
    <row r="29">
      <c r="E29" s="19" t="inlineStr">
        <is>
          <t>Constitución empresa y permisos (C.A. — sin BPF/CPE piloto)</t>
        </is>
      </c>
      <c r="M29" s="6" t="inlineStr">
        <is>
          <t>Blitz — Carabobo 6× Sales — capital (USD)</t>
        </is>
      </c>
      <c r="O29" s="7" t="n">
        <v>184878</v>
      </c>
      <c r="P29" s="7" t="n">
        <v>11998</v>
      </c>
      <c r="Q29" s="7" t="n">
        <v>238</v>
      </c>
      <c r="S29" s="7" t="n">
        <v>1287681</v>
      </c>
    </row>
    <row r="30">
      <c r="E30" s="20">
        <f>'Detallado de la inversión.'!C11</f>
        <v/>
      </c>
      <c r="F30" s="20">
        <f>'Detallado de la inversión.'!E11</f>
        <v/>
      </c>
      <c r="G30" s="20">
        <f>'Detallado de la inversión.'!F11</f>
        <v/>
      </c>
      <c r="H30" s="20">
        <f>'Detallado de la inversión.'!G11</f>
        <v/>
      </c>
      <c r="I30" s="23">
        <f>'Detallado de la inversión.'!H11</f>
        <v/>
      </c>
      <c r="J30" s="22">
        <f>H30*(1+$J$28)</f>
        <v/>
      </c>
    </row>
    <row r="31">
      <c r="E31" s="20">
        <f>'Detallado de la inversión.'!C12</f>
        <v/>
      </c>
      <c r="F31" s="20">
        <f>'Detallado de la inversión.'!E12</f>
        <v/>
      </c>
      <c r="G31" s="20">
        <f>'Detallado de la inversión.'!F12</f>
        <v/>
      </c>
      <c r="H31" s="20">
        <f>'Detallado de la inversión.'!G12</f>
        <v/>
      </c>
      <c r="I31" s="23">
        <f>'Detallado de la inversión.'!H12</f>
        <v/>
      </c>
      <c r="J31" s="22">
        <f>H31*(1+$J$28)</f>
        <v/>
      </c>
      <c r="M31" s="12" t="inlineStr">
        <is>
          <t>ESCENARIOS PROYECCION §7 (P10/P50/P90)</t>
        </is>
      </c>
      <c r="N31" s="12" t="n"/>
      <c r="O31" s="12" t="n"/>
      <c r="P31" s="12" t="n"/>
      <c r="Q31" s="12" t="n"/>
    </row>
    <row r="32">
      <c r="E32" s="20">
        <f>'Detallado de la inversión.'!C13</f>
        <v/>
      </c>
      <c r="F32" s="20">
        <f>'Detallado de la inversión.'!E13</f>
        <v/>
      </c>
      <c r="G32" s="20">
        <f>'Detallado de la inversión.'!F13</f>
        <v/>
      </c>
      <c r="H32" s="20">
        <f>'Detallado de la inversión.'!G13</f>
        <v/>
      </c>
      <c r="I32" s="23">
        <f>'Detallado de la inversión.'!H13</f>
        <v/>
      </c>
      <c r="J32" s="22">
        <f>H32*(1+$J$28)</f>
        <v/>
      </c>
      <c r="M32" s="6" t="inlineStr">
        <is>
          <t>Escenario</t>
        </is>
      </c>
      <c r="O32" s="6" t="inlineStr">
        <is>
          <t>Activas M12</t>
        </is>
      </c>
      <c r="P32" s="6" t="inlineStr">
        <is>
          <t>ARPF</t>
        </is>
      </c>
      <c r="Q32" s="6" t="inlineStr">
        <is>
          <t>Cash M12</t>
        </is>
      </c>
    </row>
    <row r="33">
      <c r="E33" s="20">
        <f>'Detallado de la inversión.'!C14</f>
        <v/>
      </c>
      <c r="F33" s="20">
        <f>'Detallado de la inversión.'!E14</f>
        <v/>
      </c>
      <c r="G33" s="20">
        <f>'Detallado de la inversión.'!F14</f>
        <v/>
      </c>
      <c r="H33" s="20">
        <f>'Detallado de la inversión.'!G14</f>
        <v/>
      </c>
      <c r="I33" s="23">
        <f>'Detallado de la inversión.'!H14</f>
        <v/>
      </c>
      <c r="J33" s="22">
        <f>H33*(1+$J$28)</f>
        <v/>
      </c>
      <c r="M33" s="6" t="inlineStr">
        <is>
          <t>P10 pesimista</t>
        </is>
      </c>
      <c r="O33" s="7" t="n">
        <v>120</v>
      </c>
      <c r="P33" s="7" t="n">
        <v>40</v>
      </c>
      <c r="Q33" s="7" t="n">
        <v>25000</v>
      </c>
    </row>
    <row r="34">
      <c r="E34" s="20">
        <f>'Detallado de la inversión.'!C15</f>
        <v/>
      </c>
      <c r="F34" s="20">
        <f>'Detallado de la inversión.'!E15</f>
        <v/>
      </c>
      <c r="G34" s="20">
        <f>'Detallado de la inversión.'!F15</f>
        <v/>
      </c>
      <c r="H34" s="20">
        <f>'Detallado de la inversión.'!G15</f>
        <v/>
      </c>
      <c r="I34" s="23">
        <f>'Detallado de la inversión.'!H15</f>
        <v/>
      </c>
      <c r="J34" s="22">
        <f>H34*(1+$J$28)</f>
        <v/>
      </c>
      <c r="M34" s="6" t="inlineStr">
        <is>
          <t>P50 base</t>
        </is>
      </c>
      <c r="O34" s="7" t="n">
        <v>159</v>
      </c>
      <c r="P34" s="7" t="n">
        <v>50</v>
      </c>
      <c r="Q34" s="7" t="n">
        <v>40831</v>
      </c>
    </row>
    <row r="35">
      <c r="E35" s="20">
        <f>'Detallado de la inversión.'!C16</f>
        <v/>
      </c>
      <c r="F35" s="20">
        <f>'Detallado de la inversión.'!E16</f>
        <v/>
      </c>
      <c r="G35" s="20">
        <f>'Detallado de la inversión.'!F16</f>
        <v/>
      </c>
      <c r="H35" s="20">
        <f>'Detallado de la inversión.'!G16</f>
        <v/>
      </c>
      <c r="I35" s="23">
        <f>'Detallado de la inversión.'!H16</f>
        <v/>
      </c>
      <c r="J35" s="22">
        <f>H35*(1+$J$28)</f>
        <v/>
      </c>
      <c r="M35" s="6" t="inlineStr">
        <is>
          <t>P90 optimista</t>
        </is>
      </c>
      <c r="O35" s="7" t="n">
        <v>200</v>
      </c>
      <c r="P35" s="7" t="n">
        <v>55</v>
      </c>
      <c r="Q35" s="7" t="n">
        <v>52000</v>
      </c>
    </row>
    <row r="36">
      <c r="E36" s="20">
        <f>'Detallado de la inversión.'!C17</f>
        <v/>
      </c>
      <c r="F36" s="20">
        <f>'Detallado de la inversión.'!E17</f>
        <v/>
      </c>
      <c r="G36" s="20">
        <f>'Detallado de la inversión.'!F17</f>
        <v/>
      </c>
      <c r="H36" s="20">
        <f>'Detallado de la inversión.'!G17</f>
        <v/>
      </c>
      <c r="I36" s="23">
        <f>'Detallado de la inversión.'!H17</f>
        <v/>
      </c>
      <c r="J36" s="22">
        <f>H36*(1+$J$28)</f>
        <v/>
      </c>
      <c r="M36" s="6" t="inlineStr">
        <is>
          <t>Lean+ stretch (4×, curva ×1,15)</t>
        </is>
      </c>
      <c r="O36" s="7" t="n">
        <v>183</v>
      </c>
      <c r="P36" s="7" t="n">
        <v>50</v>
      </c>
      <c r="Q36" s="7" t="n">
        <v>49825</v>
      </c>
    </row>
    <row r="37">
      <c r="E37" s="21">
        <f>'Detallado de la inversión.'!C18</f>
        <v/>
      </c>
      <c r="H37" s="22">
        <f>'Detallado de la inversión.'!G18</f>
        <v/>
      </c>
      <c r="I37" s="23">
        <f>'Detallado de la inversión.'!H18</f>
        <v/>
      </c>
      <c r="J37" s="22">
        <f>SUM(J30:J36)</f>
        <v/>
      </c>
      <c r="M37" s="6" t="inlineStr">
        <is>
          <t>Blitz stretch (6× Sales)</t>
        </is>
      </c>
      <c r="O37" s="7" t="n">
        <v>238</v>
      </c>
      <c r="P37" s="7" t="n">
        <v>50</v>
      </c>
      <c r="Q37" s="7" t="n">
        <v>87020</v>
      </c>
    </row>
    <row r="39">
      <c r="E39" s="27" t="inlineStr">
        <is>
          <t>Factor Año 2 intro/marketing (-50% one-shot)</t>
        </is>
      </c>
      <c r="J39" s="23" t="n">
        <v>-0.5</v>
      </c>
    </row>
    <row r="40">
      <c r="E40" s="19" t="inlineStr">
        <is>
          <t>Introducción al mercado; primeros 3 meses</t>
        </is>
      </c>
    </row>
    <row r="41">
      <c r="E41" s="20">
        <f>'Detallado de la inversión.'!C25</f>
        <v/>
      </c>
      <c r="F41" s="20">
        <f>'Detallado de la inversión.'!E25</f>
        <v/>
      </c>
      <c r="G41" s="20">
        <f>'Detallado de la inversión.'!F25</f>
        <v/>
      </c>
      <c r="H41" s="20">
        <f>'Detallado de la inversión.'!G25</f>
        <v/>
      </c>
      <c r="I41" s="23">
        <f>'Detallado de la inversión.'!H25</f>
        <v/>
      </c>
      <c r="J41" s="22">
        <f>H41*(1+$J$39)</f>
        <v/>
      </c>
    </row>
    <row r="42">
      <c r="E42" s="20">
        <f>'Detallado de la inversión.'!C26</f>
        <v/>
      </c>
      <c r="F42" s="20">
        <f>'Detallado de la inversión.'!E26</f>
        <v/>
      </c>
      <c r="G42" s="20">
        <f>'Detallado de la inversión.'!F26</f>
        <v/>
      </c>
      <c r="H42" s="20">
        <f>'Detallado de la inversión.'!G26</f>
        <v/>
      </c>
      <c r="I42" s="23">
        <f>'Detallado de la inversión.'!H26</f>
        <v/>
      </c>
      <c r="J42" s="22">
        <f>H42*(1+$J$39)</f>
        <v/>
      </c>
    </row>
    <row r="43">
      <c r="E43" s="20">
        <f>'Detallado de la inversión.'!C27</f>
        <v/>
      </c>
      <c r="F43" s="20">
        <f>'Detallado de la inversión.'!E27</f>
        <v/>
      </c>
      <c r="G43" s="20">
        <f>'Detallado de la inversión.'!F27</f>
        <v/>
      </c>
      <c r="H43" s="20">
        <f>'Detallado de la inversión.'!G27</f>
        <v/>
      </c>
      <c r="I43" s="23">
        <f>'Detallado de la inversión.'!H27</f>
        <v/>
      </c>
      <c r="J43" s="22">
        <f>H43*(1+$J$39)</f>
        <v/>
      </c>
    </row>
    <row r="44">
      <c r="E44" s="20">
        <f>'Detallado de la inversión.'!C28</f>
        <v/>
      </c>
      <c r="F44" s="20">
        <f>'Detallado de la inversión.'!E28</f>
        <v/>
      </c>
      <c r="G44" s="20">
        <f>'Detallado de la inversión.'!F28</f>
        <v/>
      </c>
      <c r="H44" s="20">
        <f>'Detallado de la inversión.'!G28</f>
        <v/>
      </c>
      <c r="I44" s="23">
        <f>'Detallado de la inversión.'!H28</f>
        <v/>
      </c>
      <c r="J44" s="22">
        <f>H44*(1+$J$39)</f>
        <v/>
      </c>
    </row>
    <row r="45">
      <c r="E45" s="20">
        <f>'Detallado de la inversión.'!C29</f>
        <v/>
      </c>
      <c r="F45" s="20">
        <f>'Detallado de la inversión.'!E29</f>
        <v/>
      </c>
      <c r="G45" s="20">
        <f>'Detallado de la inversión.'!F29</f>
        <v/>
      </c>
      <c r="H45" s="20">
        <f>'Detallado de la inversión.'!G29</f>
        <v/>
      </c>
      <c r="I45" s="23">
        <f>'Detallado de la inversión.'!H29</f>
        <v/>
      </c>
      <c r="J45" s="22">
        <f>H45*(1+$J$39)</f>
        <v/>
      </c>
    </row>
    <row r="46">
      <c r="E46" s="20">
        <f>'Detallado de la inversión.'!C30</f>
        <v/>
      </c>
      <c r="F46" s="20">
        <f>'Detallado de la inversión.'!E30</f>
        <v/>
      </c>
      <c r="G46" s="20">
        <f>'Detallado de la inversión.'!F30</f>
        <v/>
      </c>
      <c r="H46" s="20">
        <f>'Detallado de la inversión.'!G30</f>
        <v/>
      </c>
      <c r="I46" s="23">
        <f>'Detallado de la inversión.'!H30</f>
        <v/>
      </c>
      <c r="J46" s="22">
        <f>H46*(1+$J$39)</f>
        <v/>
      </c>
    </row>
    <row r="47">
      <c r="E47" s="21">
        <f>'Detallado de la inversión.'!C31</f>
        <v/>
      </c>
      <c r="H47" s="22">
        <f>'Detallado de la inversión.'!G31</f>
        <v/>
      </c>
      <c r="I47" s="23">
        <f>'Detallado de la inversión.'!H31</f>
        <v/>
      </c>
      <c r="J47" s="22">
        <f>H47*(1+$J$39)</f>
        <v/>
      </c>
    </row>
    <row r="48"/>
    <row r="49">
      <c r="E49" s="19" t="inlineStr">
        <is>
          <t>Marketing pre-lanzamiento (3 meses)</t>
        </is>
      </c>
    </row>
    <row r="50">
      <c r="E50" s="20">
        <f>'Detallado de la inversión.'!C34</f>
        <v/>
      </c>
      <c r="F50" s="20">
        <f>'Detallado de la inversión.'!E34</f>
        <v/>
      </c>
      <c r="G50" s="20">
        <f>'Detallado de la inversión.'!F34</f>
        <v/>
      </c>
      <c r="H50" s="20">
        <f>'Detallado de la inversión.'!G34</f>
        <v/>
      </c>
      <c r="I50" s="23">
        <f>'Detallado de la inversión.'!H34</f>
        <v/>
      </c>
      <c r="J50" s="22">
        <f>H50*(1+$J$39)</f>
        <v/>
      </c>
    </row>
    <row r="51">
      <c r="E51" s="20">
        <f>'Detallado de la inversión.'!C35</f>
        <v/>
      </c>
      <c r="F51" s="20">
        <f>'Detallado de la inversión.'!E35</f>
        <v/>
      </c>
      <c r="G51" s="20">
        <f>'Detallado de la inversión.'!F35</f>
        <v/>
      </c>
      <c r="H51" s="20">
        <f>'Detallado de la inversión.'!G35</f>
        <v/>
      </c>
      <c r="I51" s="23">
        <f>'Detallado de la inversión.'!H35</f>
        <v/>
      </c>
      <c r="J51" s="22">
        <f>H51*(1+$J$39)</f>
        <v/>
      </c>
    </row>
    <row r="52">
      <c r="E52" s="20">
        <f>'Detallado de la inversión.'!C36</f>
        <v/>
      </c>
      <c r="F52" s="20">
        <f>'Detallado de la inversión.'!E36</f>
        <v/>
      </c>
      <c r="G52" s="20">
        <f>'Detallado de la inversión.'!F36</f>
        <v/>
      </c>
      <c r="H52" s="20">
        <f>'Detallado de la inversión.'!G36</f>
        <v/>
      </c>
      <c r="I52" s="23">
        <f>'Detallado de la inversión.'!H36</f>
        <v/>
      </c>
      <c r="J52" s="22">
        <f>H52*(1+$J$39)</f>
        <v/>
      </c>
    </row>
    <row r="53">
      <c r="E53" s="21">
        <f>'Detallado de la inversión.'!C37</f>
        <v/>
      </c>
      <c r="H53" s="22">
        <f>'Detallado de la inversión.'!G37</f>
        <v/>
      </c>
      <c r="I53" s="23">
        <f>'Detallado de la inversión.'!H37</f>
        <v/>
      </c>
      <c r="J53" s="22">
        <f>SUM(J41:J52)</f>
        <v/>
      </c>
    </row>
    <row r="55">
      <c r="E55" s="24" t="inlineStr">
        <is>
          <t>Promedio mensual intro + mkt pre (3 meses)</t>
        </is>
      </c>
      <c r="H55" s="22">
        <f>('Detallado de la inversión.'!G31+'Detallado de la inversión.'!G37)/3</f>
        <v/>
      </c>
      <c r="J55" s="22">
        <f>H55*(1+$J$39)</f>
        <v/>
      </c>
    </row>
    <row r="56">
      <c r="E56" s="13" t="inlineStr">
        <is>
          <t>CapEx HQ / equipos / SaaS mensual → Hoja1 + Detallado. Use-of-funds SAFE → Hoja3 §A. No sumar bloques ESTA al TOTAL SAFE.</t>
        </is>
      </c>
    </row>
    <row r="58">
      <c r="E58" s="12" t="inlineStr">
        <is>
          <t>BURN MENSUAL REF. (USD/mes) — enlazado Año 1</t>
        </is>
      </c>
      <c r="F58" s="12" t="n"/>
      <c r="G58" s="12" t="n"/>
      <c r="H58" s="12" t="n"/>
      <c r="I58" s="12" t="n"/>
      <c r="J58" s="12" t="n"/>
      <c r="K58" s="12" t="n"/>
      <c r="O58" s="3" t="inlineStr">
        <is>
          <t>SIMULADOR MARKETPLACE (espejo Año 1 — P50 base)</t>
        </is>
      </c>
    </row>
    <row r="59">
      <c r="E59" s="6" t="inlineStr">
        <is>
          <t>Concepto</t>
        </is>
      </c>
      <c r="I59" s="6" t="inlineStr">
        <is>
          <t>USD/mes</t>
        </is>
      </c>
      <c r="K59" s="6" t="inlineStr">
        <is>
          <t>Fuente</t>
        </is>
      </c>
      <c r="O59" s="2" t="inlineStr">
        <is>
          <t>Mes</t>
        </is>
      </c>
      <c r="P59" s="2" t="inlineStr">
        <is>
          <t>Costo/activa (burn÷activas)</t>
        </is>
      </c>
      <c r="Q59" s="2" t="inlineStr">
        <is>
          <t>Farmacias activas</t>
        </is>
      </c>
      <c r="R59" s="2" t="inlineStr">
        <is>
          <t>Costo total mes</t>
        </is>
      </c>
      <c r="S59" s="2" t="inlineStr">
        <is>
          <t>ARPF (USD)</t>
        </is>
      </c>
      <c r="T59" s="2" t="inlineStr">
        <is>
          <t>Revenue mes</t>
        </is>
      </c>
      <c r="U59" s="2" t="inlineStr">
        <is>
          <t>Util./activa</t>
        </is>
      </c>
      <c r="V59" s="2" t="inlineStr">
        <is>
          <t>Utilidad mes</t>
        </is>
      </c>
      <c r="W59" s="2" t="inlineStr">
        <is>
          <t>Escenario</t>
        </is>
      </c>
    </row>
    <row r="60">
      <c r="E60" s="6" t="inlineStr">
        <is>
          <t>Dev junior (Flutter/Laravel)</t>
        </is>
      </c>
      <c r="I60" s="7" t="n">
        <v>600</v>
      </c>
      <c r="K60" s="6" t="inlineStr">
        <is>
          <t>Nómina v3</t>
        </is>
      </c>
      <c r="O60" s="22" t="n">
        <v>1</v>
      </c>
      <c r="P60" s="22">
        <f>IF(Q60=0,0,'Año 1'!C40/Q60)</f>
        <v/>
      </c>
      <c r="Q60" s="22">
        <f>'Año 1'!C19</f>
        <v/>
      </c>
      <c r="R60" s="22">
        <f>'Año 1'!C40</f>
        <v/>
      </c>
      <c r="S60" s="22">
        <f>IF(Q60=0,0,'Año 1'!C25/Q60)</f>
        <v/>
      </c>
      <c r="T60" s="22">
        <f>'Año 1'!C25</f>
        <v/>
      </c>
      <c r="U60" s="22">
        <f>S60-P60</f>
        <v/>
      </c>
      <c r="V60" s="22">
        <f>'Año 1'!C42</f>
        <v/>
      </c>
      <c r="W60" s="20" t="inlineStr">
        <is>
          <t>P50 base</t>
        </is>
      </c>
    </row>
    <row r="61">
      <c r="E61" s="6" t="inlineStr">
        <is>
          <t>4× Sales B2B (base)</t>
        </is>
      </c>
      <c r="I61" s="7" t="n">
        <v>1400</v>
      </c>
      <c r="K61" s="6" t="inlineStr">
        <is>
          <t>PRESUPUESTO §2.3</t>
        </is>
      </c>
      <c r="O61" s="22" t="n">
        <v>2</v>
      </c>
      <c r="P61" s="22">
        <f>IF(Q61=0,0,'Año 1'!D40/Q61)</f>
        <v/>
      </c>
      <c r="Q61" s="22">
        <f>'Año 1'!D19</f>
        <v/>
      </c>
      <c r="R61" s="22">
        <f>'Año 1'!D40</f>
        <v/>
      </c>
      <c r="S61" s="22">
        <f>IF(Q61=0,0,'Año 1'!D25/Q61)</f>
        <v/>
      </c>
      <c r="T61" s="22">
        <f>'Año 1'!D25</f>
        <v/>
      </c>
      <c r="U61" s="22">
        <f>S61-P61</f>
        <v/>
      </c>
      <c r="V61" s="22">
        <f>'Año 1'!D42</f>
        <v/>
      </c>
      <c r="W61" s="20" t="inlineStr">
        <is>
          <t>P50 base</t>
        </is>
      </c>
    </row>
    <row r="62">
      <c r="E62" s="6" t="inlineStr">
        <is>
          <t>CS + Community Manager</t>
        </is>
      </c>
      <c r="I62" s="7" t="n">
        <v>400</v>
      </c>
      <c r="O62" s="22" t="n">
        <v>3</v>
      </c>
      <c r="P62" s="22">
        <f>IF(Q62=0,0,'Año 1'!E40/Q62)</f>
        <v/>
      </c>
      <c r="Q62" s="22">
        <f>'Año 1'!E19</f>
        <v/>
      </c>
      <c r="R62" s="22">
        <f>'Año 1'!E40</f>
        <v/>
      </c>
      <c r="S62" s="22">
        <f>IF(Q62=0,0,'Año 1'!E25/Q62)</f>
        <v/>
      </c>
      <c r="T62" s="22">
        <f>'Año 1'!E25</f>
        <v/>
      </c>
      <c r="U62" s="22">
        <f>S62-P62</f>
        <v/>
      </c>
      <c r="V62" s="22">
        <f>'Año 1'!E42</f>
        <v/>
      </c>
      <c r="W62" s="20" t="inlineStr">
        <is>
          <t>P50 base</t>
        </is>
      </c>
    </row>
    <row r="63">
      <c r="E63" s="6" t="inlineStr">
        <is>
          <t>Founder + Co-CEO</t>
        </is>
      </c>
      <c r="I63" s="7" t="n">
        <v>2000</v>
      </c>
      <c r="O63" s="22" t="n">
        <v>4</v>
      </c>
      <c r="P63" s="22">
        <f>IF(Q63=0,0,'Año 1'!F40/Q63)</f>
        <v/>
      </c>
      <c r="Q63" s="22">
        <f>'Año 1'!F19</f>
        <v/>
      </c>
      <c r="R63" s="22">
        <f>'Año 1'!F40</f>
        <v/>
      </c>
      <c r="S63" s="22">
        <f>IF(Q63=0,0,'Año 1'!F25/Q63)</f>
        <v/>
      </c>
      <c r="T63" s="22">
        <f>'Año 1'!F25</f>
        <v/>
      </c>
      <c r="U63" s="22">
        <f>S63-P63</f>
        <v/>
      </c>
      <c r="V63" s="22">
        <f>'Año 1'!F42</f>
        <v/>
      </c>
      <c r="W63" s="20" t="inlineStr">
        <is>
          <t>P50 base</t>
        </is>
      </c>
    </row>
    <row r="64">
      <c r="E64" s="6" t="inlineStr">
        <is>
          <t>Herramientas IA</t>
        </is>
      </c>
      <c r="I64" s="7" t="n">
        <v>425</v>
      </c>
      <c r="O64" s="22" t="n">
        <v>5</v>
      </c>
      <c r="P64" s="22">
        <f>IF(Q64=0,0,'Año 1'!G40/Q64)</f>
        <v/>
      </c>
      <c r="Q64" s="22">
        <f>'Año 1'!G19</f>
        <v/>
      </c>
      <c r="R64" s="22">
        <f>'Año 1'!G40</f>
        <v/>
      </c>
      <c r="S64" s="22">
        <f>IF(Q64=0,0,'Año 1'!G25/Q64)</f>
        <v/>
      </c>
      <c r="T64" s="22">
        <f>'Año 1'!G25</f>
        <v/>
      </c>
      <c r="U64" s="22">
        <f>S64-P64</f>
        <v/>
      </c>
      <c r="V64" s="22">
        <f>'Año 1'!G42</f>
        <v/>
      </c>
      <c r="W64" s="20" t="inlineStr">
        <is>
          <t>P50 base</t>
        </is>
      </c>
    </row>
    <row r="65">
      <c r="E65" s="6" t="inlineStr">
        <is>
          <t>Contador + Abogado</t>
        </is>
      </c>
      <c r="I65" s="7" t="n">
        <v>330</v>
      </c>
      <c r="O65" s="22" t="n">
        <v>6</v>
      </c>
      <c r="P65" s="22">
        <f>IF(Q65=0,0,'Año 1'!H40/Q65)</f>
        <v/>
      </c>
      <c r="Q65" s="22">
        <f>'Año 1'!H19</f>
        <v/>
      </c>
      <c r="R65" s="22">
        <f>'Año 1'!H40</f>
        <v/>
      </c>
      <c r="S65" s="22">
        <f>IF(Q65=0,0,'Año 1'!H25/Q65)</f>
        <v/>
      </c>
      <c r="T65" s="22">
        <f>'Año 1'!H25</f>
        <v/>
      </c>
      <c r="U65" s="22">
        <f>S65-P65</f>
        <v/>
      </c>
      <c r="V65" s="22">
        <f>'Año 1'!H42</f>
        <v/>
      </c>
      <c r="W65" s="20" t="inlineStr">
        <is>
          <t>P50 base</t>
        </is>
      </c>
    </row>
    <row r="66">
      <c r="E66" s="6" t="inlineStr">
        <is>
          <t>HQ casa (arriendo + servicios)</t>
        </is>
      </c>
      <c r="I66" s="7" t="n">
        <v>500</v>
      </c>
      <c r="O66" s="22" t="n">
        <v>7</v>
      </c>
      <c r="P66" s="22">
        <f>IF(Q66=0,0,'Año 1'!I40/Q66)</f>
        <v/>
      </c>
      <c r="Q66" s="22">
        <f>'Año 1'!I19</f>
        <v/>
      </c>
      <c r="R66" s="22">
        <f>'Año 1'!I40</f>
        <v/>
      </c>
      <c r="S66" s="22">
        <f>IF(Q66=0,0,'Año 1'!I25/Q66)</f>
        <v/>
      </c>
      <c r="T66" s="22">
        <f>'Año 1'!I25</f>
        <v/>
      </c>
      <c r="U66" s="22">
        <f>S66-P66</f>
        <v/>
      </c>
      <c r="V66" s="22">
        <f>'Año 1'!I42</f>
        <v/>
      </c>
      <c r="W66" s="20" t="inlineStr">
        <is>
          <t>P50 base</t>
        </is>
      </c>
    </row>
    <row r="67">
      <c r="E67" s="6" t="inlineStr">
        <is>
          <t>Servicios oficina</t>
        </is>
      </c>
      <c r="I67" s="7" t="n">
        <v>80</v>
      </c>
      <c r="K67" s="6" t="inlineStr">
        <is>
          <t>§2.3.1</t>
        </is>
      </c>
      <c r="O67" s="22" t="n">
        <v>8</v>
      </c>
      <c r="P67" s="22">
        <f>IF(Q67=0,0,'Año 1'!J40/Q67)</f>
        <v/>
      </c>
      <c r="Q67" s="22">
        <f>'Año 1'!J19</f>
        <v/>
      </c>
      <c r="R67" s="22">
        <f>'Año 1'!J40</f>
        <v/>
      </c>
      <c r="S67" s="22">
        <f>IF(Q67=0,0,'Año 1'!J25/Q67)</f>
        <v/>
      </c>
      <c r="T67" s="22">
        <f>'Año 1'!J25</f>
        <v/>
      </c>
      <c r="U67" s="22">
        <f>S67-P67</f>
        <v/>
      </c>
      <c r="V67" s="22">
        <f>'Año 1'!J42</f>
        <v/>
      </c>
      <c r="W67" s="20" t="inlineStr">
        <is>
          <t>P50 base</t>
        </is>
      </c>
    </row>
    <row r="68">
      <c r="E68" s="6" t="inlineStr">
        <is>
          <t>Hosting + SaaS + Firebase OTP</t>
        </is>
      </c>
      <c r="I68" s="7" t="n">
        <v>154</v>
      </c>
      <c r="K68" s="6" t="inlineStr">
        <is>
          <t>§2.3.1</t>
        </is>
      </c>
      <c r="O68" s="22" t="n">
        <v>9</v>
      </c>
      <c r="P68" s="22">
        <f>IF(Q68=0,0,'Año 1'!K40/Q68)</f>
        <v/>
      </c>
      <c r="Q68" s="22">
        <f>'Año 1'!K19</f>
        <v/>
      </c>
      <c r="R68" s="22">
        <f>'Año 1'!K40</f>
        <v/>
      </c>
      <c r="S68" s="22">
        <f>IF(Q68=0,0,'Año 1'!K25/Q68)</f>
        <v/>
      </c>
      <c r="T68" s="22">
        <f>'Año 1'!K25</f>
        <v/>
      </c>
      <c r="U68" s="22">
        <f>S68-P68</f>
        <v/>
      </c>
      <c r="V68" s="22">
        <f>'Año 1'!K42</f>
        <v/>
      </c>
      <c r="W68" s="20" t="inlineStr">
        <is>
          <t>P50 base</t>
        </is>
      </c>
    </row>
    <row r="69">
      <c r="E69" s="6" t="inlineStr">
        <is>
          <t>Meta Ads (prom.)</t>
        </is>
      </c>
      <c r="I69" s="7" t="n">
        <v>650</v>
      </c>
      <c r="K69" s="6" t="inlineStr">
        <is>
          <t>tramos</t>
        </is>
      </c>
      <c r="O69" s="22" t="n">
        <v>10</v>
      </c>
      <c r="P69" s="22">
        <f>IF(Q69=0,0,'Año 1'!L40/Q69)</f>
        <v/>
      </c>
      <c r="Q69" s="22">
        <f>'Año 1'!L19</f>
        <v/>
      </c>
      <c r="R69" s="22">
        <f>'Año 1'!L40</f>
        <v/>
      </c>
      <c r="S69" s="22">
        <f>IF(Q69=0,0,'Año 1'!L25/Q69)</f>
        <v/>
      </c>
      <c r="T69" s="22">
        <f>'Año 1'!L25</f>
        <v/>
      </c>
      <c r="U69" s="22">
        <f>S69-P69</f>
        <v/>
      </c>
      <c r="V69" s="22">
        <f>'Año 1'!L42</f>
        <v/>
      </c>
      <c r="W69" s="20" t="inlineStr">
        <is>
          <t>P50 base</t>
        </is>
      </c>
    </row>
    <row r="70">
      <c r="E70" s="6" t="inlineStr">
        <is>
          <t>Valla pequeña (desde M3)</t>
        </is>
      </c>
      <c r="I70" s="7" t="n">
        <v>292</v>
      </c>
      <c r="O70" s="22" t="n">
        <v>11</v>
      </c>
      <c r="P70" s="22">
        <f>IF(Q70=0,0,'Año 1'!M40/Q70)</f>
        <v/>
      </c>
      <c r="Q70" s="22">
        <f>'Año 1'!M19</f>
        <v/>
      </c>
      <c r="R70" s="22">
        <f>'Año 1'!M40</f>
        <v/>
      </c>
      <c r="S70" s="22">
        <f>IF(Q70=0,0,'Año 1'!M25/Q70)</f>
        <v/>
      </c>
      <c r="T70" s="22">
        <f>'Año 1'!M25</f>
        <v/>
      </c>
      <c r="U70" s="22">
        <f>S70-P70</f>
        <v/>
      </c>
      <c r="V70" s="22">
        <f>'Año 1'!M42</f>
        <v/>
      </c>
      <c r="W70" s="20" t="inlineStr">
        <is>
          <t>P50 base</t>
        </is>
      </c>
    </row>
    <row r="71">
      <c r="E71" s="6" t="inlineStr">
        <is>
          <t>Material + transporte + contingencia (incl. buffer VE 20%)</t>
        </is>
      </c>
      <c r="I71" s="7" t="n">
        <v>1277</v>
      </c>
      <c r="K71" s="6" t="inlineStr">
        <is>
          <t>PRESUPUESTO §6</t>
        </is>
      </c>
      <c r="O71" s="22" t="n">
        <v>12</v>
      </c>
      <c r="P71" s="22">
        <f>IF(Q71=0,0,'Año 1'!N40/Q71)</f>
        <v/>
      </c>
      <c r="Q71" s="22">
        <f>'Año 1'!N19</f>
        <v/>
      </c>
      <c r="R71" s="22">
        <f>'Año 1'!N40</f>
        <v/>
      </c>
      <c r="S71" s="22">
        <f>IF(Q71=0,0,'Año 1'!N25/Q71)</f>
        <v/>
      </c>
      <c r="T71" s="22">
        <f>'Año 1'!N25</f>
        <v/>
      </c>
      <c r="U71" s="22">
        <f>S71-P71</f>
        <v/>
      </c>
      <c r="V71" s="22">
        <f>'Año 1'!N42</f>
        <v/>
      </c>
      <c r="W71" s="20" t="inlineStr">
        <is>
          <t>P50 base</t>
        </is>
      </c>
    </row>
    <row r="72">
      <c r="E72" s="15" t="inlineStr">
        <is>
          <t>Sales comisiones (estim. prom/mes — $40/firma)</t>
        </is>
      </c>
      <c r="I72" s="7" t="n">
        <v>617</v>
      </c>
      <c r="K72" s="6" t="inlineStr">
        <is>
          <t>Variable — no en burn fijo Lean</t>
        </is>
      </c>
      <c r="O72" s="3" t="inlineStr">
        <is>
          <t>Total utilidad M1-M12 (P50)</t>
        </is>
      </c>
      <c r="V72" s="7">
        <f>SUM(V60:V71)</f>
        <v/>
      </c>
    </row>
    <row r="73">
      <c r="E73" s="3" t="inlineStr">
        <is>
          <t>Total burn ref. catálogo (fijos + contingencia)</t>
        </is>
      </c>
      <c r="I73" s="7">
        <f>SUM(I60:I70)+I71</f>
        <v/>
      </c>
    </row>
    <row r="74">
      <c r="E74" s="3" t="inlineStr">
        <is>
          <t>Payback inversor ilustrativo (SAFE 18.66%)</t>
        </is>
      </c>
      <c r="O74" s="3" t="inlineStr">
        <is>
          <t>Stress P10 (ARPF 40 fijo)</t>
        </is>
      </c>
    </row>
    <row r="75">
      <c r="E75" s="6" t="inlineStr">
        <is>
          <t>Ver hoja Flujo Total — fila Payback (años). No promesa contractual.</t>
        </is>
      </c>
      <c r="O75" s="6" t="inlineStr">
        <is>
          <t>Mes</t>
        </is>
      </c>
      <c r="Q75" s="6" t="inlineStr">
        <is>
          <t>Activas</t>
        </is>
      </c>
      <c r="R75" s="6" t="inlineStr">
        <is>
          <t>Costo</t>
        </is>
      </c>
      <c r="S75" s="6" t="inlineStr">
        <is>
          <t>ARPF</t>
        </is>
      </c>
      <c r="T75" s="6" t="inlineStr">
        <is>
          <t>Revenue</t>
        </is>
      </c>
      <c r="V75" s="6" t="inlineStr">
        <is>
          <t>Utilidad</t>
        </is>
      </c>
    </row>
    <row r="76">
      <c r="E76" s="14" t="inlineStr">
        <is>
          <t>Modelo financiero v3.8.2 — jun 2026 — pack Lanzamiento Zonix Pharma</t>
        </is>
      </c>
      <c r="O76" s="7" t="n">
        <v>1</v>
      </c>
      <c r="Q76" s="7">
        <f>'Año 1'!C19</f>
        <v/>
      </c>
      <c r="R76" s="7">
        <f>'Año 1'!C40</f>
        <v/>
      </c>
      <c r="S76" s="7" t="n">
        <v>40</v>
      </c>
      <c r="T76" s="7">
        <f>Q76*S76</f>
        <v/>
      </c>
      <c r="V76" s="7">
        <f>T76-R76</f>
        <v/>
      </c>
      <c r="W76" t="inlineStr">
        <is>
          <t>P10 stress</t>
        </is>
      </c>
    </row>
    <row r="77">
      <c r="O77" s="7" t="n">
        <v>2</v>
      </c>
      <c r="Q77" s="7">
        <f>'Año 1'!D19</f>
        <v/>
      </c>
      <c r="R77" s="7">
        <f>'Año 1'!D40</f>
        <v/>
      </c>
      <c r="S77" s="7" t="n">
        <v>40</v>
      </c>
      <c r="T77" s="7">
        <f>Q77*S77</f>
        <v/>
      </c>
      <c r="V77" s="7">
        <f>T77-R77</f>
        <v/>
      </c>
      <c r="W77" t="inlineStr">
        <is>
          <t>P10 stress</t>
        </is>
      </c>
    </row>
    <row r="78">
      <c r="O78" s="7" t="n">
        <v>3</v>
      </c>
      <c r="Q78" s="7">
        <f>'Año 1'!E19</f>
        <v/>
      </c>
      <c r="R78" s="7">
        <f>'Año 1'!E40</f>
        <v/>
      </c>
      <c r="S78" s="7" t="n">
        <v>40</v>
      </c>
      <c r="T78" s="7">
        <f>Q78*S78</f>
        <v/>
      </c>
      <c r="V78" s="7">
        <f>T78-R78</f>
        <v/>
      </c>
      <c r="W78" t="inlineStr">
        <is>
          <t>P10 stress</t>
        </is>
      </c>
    </row>
    <row r="79">
      <c r="O79" s="7" t="n">
        <v>4</v>
      </c>
      <c r="Q79" s="7">
        <f>'Año 1'!F19</f>
        <v/>
      </c>
      <c r="R79" s="7">
        <f>'Año 1'!F40</f>
        <v/>
      </c>
      <c r="S79" s="7" t="n">
        <v>40</v>
      </c>
      <c r="T79" s="7">
        <f>Q79*S79</f>
        <v/>
      </c>
      <c r="V79" s="7">
        <f>T79-R79</f>
        <v/>
      </c>
      <c r="W79" t="inlineStr">
        <is>
          <t>P10 stress</t>
        </is>
      </c>
    </row>
    <row r="80">
      <c r="O80" s="7" t="n">
        <v>5</v>
      </c>
      <c r="Q80" s="7">
        <f>'Año 1'!G19</f>
        <v/>
      </c>
      <c r="R80" s="7">
        <f>'Año 1'!G40</f>
        <v/>
      </c>
      <c r="S80" s="7" t="n">
        <v>40</v>
      </c>
      <c r="T80" s="7">
        <f>Q80*S80</f>
        <v/>
      </c>
      <c r="V80" s="7">
        <f>T80-R80</f>
        <v/>
      </c>
      <c r="W80" t="inlineStr">
        <is>
          <t>P10 stress</t>
        </is>
      </c>
    </row>
    <row r="81">
      <c r="O81" s="7" t="n">
        <v>6</v>
      </c>
      <c r="Q81" s="7">
        <f>'Año 1'!H19</f>
        <v/>
      </c>
      <c r="R81" s="7">
        <f>'Año 1'!H40</f>
        <v/>
      </c>
      <c r="S81" s="7" t="n">
        <v>40</v>
      </c>
      <c r="T81" s="7">
        <f>Q81*S81</f>
        <v/>
      </c>
      <c r="V81" s="7">
        <f>T81-R81</f>
        <v/>
      </c>
      <c r="W81" t="inlineStr">
        <is>
          <t>P10 stress</t>
        </is>
      </c>
    </row>
    <row r="82">
      <c r="O82" s="7" t="n">
        <v>7</v>
      </c>
      <c r="Q82" s="7">
        <f>'Año 1'!I19</f>
        <v/>
      </c>
      <c r="R82" s="7">
        <f>'Año 1'!I40</f>
        <v/>
      </c>
      <c r="S82" s="7" t="n">
        <v>40</v>
      </c>
      <c r="T82" s="7">
        <f>Q82*S82</f>
        <v/>
      </c>
      <c r="V82" s="7">
        <f>T82-R82</f>
        <v/>
      </c>
      <c r="W82" t="inlineStr">
        <is>
          <t>P10 stress</t>
        </is>
      </c>
    </row>
    <row r="83">
      <c r="O83" s="7" t="n">
        <v>8</v>
      </c>
      <c r="Q83" s="7">
        <f>'Año 1'!J19</f>
        <v/>
      </c>
      <c r="R83" s="7">
        <f>'Año 1'!J40</f>
        <v/>
      </c>
      <c r="S83" s="7" t="n">
        <v>40</v>
      </c>
      <c r="T83" s="7">
        <f>Q83*S83</f>
        <v/>
      </c>
      <c r="V83" s="7">
        <f>T83-R83</f>
        <v/>
      </c>
      <c r="W83" t="inlineStr">
        <is>
          <t>P10 stress</t>
        </is>
      </c>
    </row>
    <row r="84">
      <c r="O84" s="7" t="n">
        <v>9</v>
      </c>
      <c r="Q84" s="7">
        <f>'Año 1'!K19</f>
        <v/>
      </c>
      <c r="R84" s="7">
        <f>'Año 1'!K40</f>
        <v/>
      </c>
      <c r="S84" s="7" t="n">
        <v>40</v>
      </c>
      <c r="T84" s="7">
        <f>Q84*S84</f>
        <v/>
      </c>
      <c r="V84" s="7">
        <f>T84-R84</f>
        <v/>
      </c>
      <c r="W84" t="inlineStr">
        <is>
          <t>P10 stress</t>
        </is>
      </c>
    </row>
    <row r="85">
      <c r="O85" s="7" t="n">
        <v>10</v>
      </c>
      <c r="Q85" s="7">
        <f>'Año 1'!L19</f>
        <v/>
      </c>
      <c r="R85" s="7">
        <f>'Año 1'!L40</f>
        <v/>
      </c>
      <c r="S85" s="7" t="n">
        <v>40</v>
      </c>
      <c r="T85" s="7">
        <f>Q85*S85</f>
        <v/>
      </c>
      <c r="V85" s="7">
        <f>T85-R85</f>
        <v/>
      </c>
      <c r="W85" t="inlineStr">
        <is>
          <t>P10 stress</t>
        </is>
      </c>
    </row>
    <row r="86">
      <c r="O86" s="7" t="n">
        <v>11</v>
      </c>
      <c r="Q86" s="7">
        <f>'Año 1'!M19</f>
        <v/>
      </c>
      <c r="R86" s="7">
        <f>'Año 1'!M40</f>
        <v/>
      </c>
      <c r="S86" s="7" t="n">
        <v>40</v>
      </c>
      <c r="T86" s="7">
        <f>Q86*S86</f>
        <v/>
      </c>
      <c r="V86" s="7">
        <f>T86-R86</f>
        <v/>
      </c>
      <c r="W86" t="inlineStr">
        <is>
          <t>P10 stress</t>
        </is>
      </c>
    </row>
    <row r="87">
      <c r="O87" s="7" t="n">
        <v>12</v>
      </c>
      <c r="Q87" s="7">
        <f>'Año 1'!N19</f>
        <v/>
      </c>
      <c r="R87" s="7">
        <f>'Año 1'!N40</f>
        <v/>
      </c>
      <c r="S87" s="7" t="n">
        <v>40</v>
      </c>
      <c r="T87" s="7">
        <f>Q87*S87</f>
        <v/>
      </c>
      <c r="V87" s="7">
        <f>T87-R87</f>
        <v/>
      </c>
      <c r="W87" t="inlineStr">
        <is>
          <t>P10 stress</t>
        </is>
      </c>
    </row>
    <row r="88">
      <c r="O88" s="3" t="inlineStr">
        <is>
          <t>Total utilidad P10</t>
        </is>
      </c>
      <c r="V88" s="7">
        <f>SUM(V76:V87)</f>
        <v/>
      </c>
    </row>
  </sheetData>
  <mergeCells count="2">
    <mergeCell ref="E56:J56"/>
    <mergeCell ref="E3:J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9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ARPF placeholder USD/mes</t>
        </is>
      </c>
      <c r="C3" s="7" t="n">
        <v>50</v>
      </c>
    </row>
    <row r="4">
      <c r="B4" s="6" t="inlineStr">
        <is>
          <t>Cuota Basic USD/mes</t>
        </is>
      </c>
      <c r="C4" s="7" t="n">
        <v>25</v>
      </c>
    </row>
    <row r="5">
      <c r="B5" s="6" t="inlineStr">
        <is>
          <t>Cuota Pro USD/mes</t>
        </is>
      </c>
      <c r="C5" s="7" t="n">
        <v>40</v>
      </c>
    </row>
    <row r="6">
      <c r="B6" s="6" t="inlineStr">
        <is>
          <t>Cuota Enterprise USD/mes</t>
        </is>
      </c>
      <c r="C6" s="7" t="n">
        <v>55</v>
      </c>
    </row>
    <row r="7">
      <c r="B7" s="6" t="inlineStr">
        <is>
          <t>Mix Basic (ponderador)</t>
        </is>
      </c>
      <c r="C7" s="7" t="n">
        <v>0.6</v>
      </c>
    </row>
    <row r="8">
      <c r="B8" s="6" t="inlineStr">
        <is>
          <t>Mix Pro (ponderador)</t>
        </is>
      </c>
      <c r="C8" s="7" t="n">
        <v>0.3</v>
      </c>
    </row>
    <row r="9">
      <c r="B9" s="6" t="inlineStr">
        <is>
          <t>Mix Enterprise (ponderador)</t>
        </is>
      </c>
      <c r="C9" s="7" t="n">
        <v>0.1</v>
      </c>
    </row>
    <row r="10">
      <c r="B10" s="6" t="inlineStr">
        <is>
          <t>Churn mensual target</t>
        </is>
      </c>
      <c r="C10" s="9" t="n">
        <v>0.05</v>
      </c>
    </row>
    <row r="11">
      <c r="B11" s="6" t="inlineStr">
        <is>
          <t>Participación Inversor SAFE</t>
        </is>
      </c>
      <c r="C11" s="9" t="n">
        <v>0.1866</v>
      </c>
    </row>
    <row r="12">
      <c r="B12" s="6" t="inlineStr">
        <is>
          <t>Participación Founders</t>
        </is>
      </c>
      <c r="C12" s="9">
        <f>1-C11</f>
        <v/>
      </c>
    </row>
    <row r="13">
      <c r="B13" s="6" t="inlineStr">
        <is>
          <t>Tasa descuento VAN</t>
        </is>
      </c>
      <c r="C13" s="9" t="n">
        <v>0.25</v>
      </c>
    </row>
    <row r="14">
      <c r="B14" s="6" t="inlineStr">
        <is>
          <t>Capital SAFE Lean (USD)</t>
        </is>
      </c>
      <c r="C14" s="7" t="n">
        <v>111988</v>
      </c>
    </row>
    <row r="15">
      <c r="B15" s="6" t="inlineStr">
        <is>
          <t>Nota escenario</t>
        </is>
      </c>
      <c r="C15" s="6" t="inlineStr">
        <is>
          <t>Lean ancla pack</t>
        </is>
      </c>
    </row>
    <row r="16">
      <c r="B16" s="16" t="inlineStr">
        <is>
          <t>AÑO 1</t>
        </is>
      </c>
    </row>
    <row r="17">
      <c r="C17" s="2" t="inlineStr">
        <is>
          <t>Mes 1</t>
        </is>
      </c>
      <c r="D17" s="2" t="inlineStr">
        <is>
          <t>Mes 2</t>
        </is>
      </c>
      <c r="E17" s="2" t="inlineStr">
        <is>
          <t>Mes 3</t>
        </is>
      </c>
      <c r="F17" s="2" t="inlineStr">
        <is>
          <t>Mes 4</t>
        </is>
      </c>
      <c r="G17" s="2" t="inlineStr">
        <is>
          <t>Mes 5</t>
        </is>
      </c>
      <c r="H17" s="2" t="inlineStr">
        <is>
          <t>Mes 6</t>
        </is>
      </c>
      <c r="I17" s="2" t="inlineStr">
        <is>
          <t>Mes 7</t>
        </is>
      </c>
      <c r="J17" s="2" t="inlineStr">
        <is>
          <t>Mes 8</t>
        </is>
      </c>
      <c r="K17" s="2" t="inlineStr">
        <is>
          <t>Mes 9</t>
        </is>
      </c>
      <c r="L17" s="2" t="inlineStr">
        <is>
          <t>Mes 10</t>
        </is>
      </c>
      <c r="M17" s="2" t="inlineStr">
        <is>
          <t>Mes 11</t>
        </is>
      </c>
      <c r="N17" s="2" t="inlineStr">
        <is>
          <t>Mes 12</t>
        </is>
      </c>
      <c r="O17" s="2" t="inlineStr">
        <is>
          <t>TOTAL</t>
        </is>
      </c>
    </row>
    <row r="18">
      <c r="B18" s="6" t="inlineStr">
        <is>
          <t>Farmacias firmadas (altas mes)</t>
        </is>
      </c>
      <c r="C18" s="7" t="n">
        <v>13</v>
      </c>
      <c r="D18" s="7" t="n">
        <v>13</v>
      </c>
      <c r="E18" s="7" t="n">
        <v>14</v>
      </c>
      <c r="F18" s="7" t="n">
        <v>15</v>
      </c>
      <c r="G18" s="7" t="n">
        <v>15</v>
      </c>
      <c r="H18" s="7" t="n">
        <v>16</v>
      </c>
      <c r="I18" s="7" t="n">
        <v>16</v>
      </c>
      <c r="J18" s="7" t="n">
        <v>16</v>
      </c>
      <c r="K18" s="7" t="n">
        <v>17</v>
      </c>
      <c r="L18" s="7" t="n">
        <v>17</v>
      </c>
      <c r="M18" s="7" t="n">
        <v>17</v>
      </c>
      <c r="N18" s="7" t="n">
        <v>16</v>
      </c>
      <c r="O18" s="7">
        <f>SUM(C18:N18)</f>
        <v/>
      </c>
    </row>
    <row r="19">
      <c r="B19" s="6" t="inlineStr">
        <is>
          <t>Farmacias activas (stock cierre mes)</t>
        </is>
      </c>
      <c r="C19" s="7" t="n">
        <v>40</v>
      </c>
      <c r="D19" s="7" t="n">
        <v>51</v>
      </c>
      <c r="E19" s="7" t="n">
        <v>62</v>
      </c>
      <c r="F19" s="7" t="n">
        <v>74</v>
      </c>
      <c r="G19" s="7" t="n">
        <v>85</v>
      </c>
      <c r="H19" s="7" t="n">
        <v>97</v>
      </c>
      <c r="I19" s="7" t="n">
        <v>108</v>
      </c>
      <c r="J19" s="7" t="n">
        <v>119</v>
      </c>
      <c r="K19" s="7" t="n">
        <v>130</v>
      </c>
      <c r="L19" s="7" t="n">
        <v>141</v>
      </c>
      <c r="M19" s="7" t="n">
        <v>151</v>
      </c>
      <c r="N19" s="7" t="n">
        <v>159</v>
      </c>
      <c r="O19" s="7">
        <f>N19</f>
        <v/>
      </c>
    </row>
    <row r="21">
      <c r="B21" s="12" t="inlineStr">
        <is>
          <t>Ingresos ($)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B22" s="6" t="inlineStr">
        <is>
          <t xml:space="preserve">      Ingresos cuota fija B2B</t>
        </is>
      </c>
      <c r="C22" s="7">
        <f>C19*($C$7*$C$4+$C$8*$C$5+$C$9*$C$6)</f>
        <v/>
      </c>
      <c r="D22" s="7">
        <f>D19*($C$7*$C$4+$C$8*$C$5+$C$9*$C$6)</f>
        <v/>
      </c>
      <c r="E22" s="7">
        <f>E19*($C$7*$C$4+$C$8*$C$5+$C$9*$C$6)</f>
        <v/>
      </c>
      <c r="F22" s="7">
        <f>F19*($C$7*$C$4+$C$8*$C$5+$C$9*$C$6)</f>
        <v/>
      </c>
      <c r="G22" s="7">
        <f>G19*($C$7*$C$4+$C$8*$C$5+$C$9*$C$6)</f>
        <v/>
      </c>
      <c r="H22" s="7">
        <f>H19*($C$7*$C$4+$C$8*$C$5+$C$9*$C$6)</f>
        <v/>
      </c>
      <c r="I22" s="7">
        <f>I19*($C$7*$C$4+$C$8*$C$5+$C$9*$C$6)</f>
        <v/>
      </c>
      <c r="J22" s="7">
        <f>J19*($C$7*$C$4+$C$8*$C$5+$C$9*$C$6)</f>
        <v/>
      </c>
      <c r="K22" s="7">
        <f>K19*($C$7*$C$4+$C$8*$C$5+$C$9*$C$6)</f>
        <v/>
      </c>
      <c r="L22" s="7">
        <f>L19*($C$7*$C$4+$C$8*$C$5+$C$9*$C$6)</f>
        <v/>
      </c>
      <c r="M22" s="7">
        <f>M19*($C$7*$C$4+$C$8*$C$5+$C$9*$C$6)</f>
        <v/>
      </c>
      <c r="N22" s="7">
        <f>N19*($C$7*$C$4+$C$8*$C$5+$C$9*$C$6)</f>
        <v/>
      </c>
      <c r="O22" s="7">
        <f>SUM(C22:N22)</f>
        <v/>
      </c>
    </row>
    <row r="23">
      <c r="B23" s="6" t="inlineStr">
        <is>
          <t xml:space="preserve">      Ingresos comisión % GMV [EDITAR]</t>
        </is>
      </c>
      <c r="C23" s="7">
        <f>C19*($C$3-C22/C19)</f>
        <v/>
      </c>
      <c r="D23" s="7">
        <f>D19*($C$3-D22/D19)</f>
        <v/>
      </c>
      <c r="E23" s="7">
        <f>E19*($C$3-E22/E19)</f>
        <v/>
      </c>
      <c r="F23" s="7">
        <f>F19*($C$3-F22/F19)</f>
        <v/>
      </c>
      <c r="G23" s="7">
        <f>G19*($C$3-G22/G19)</f>
        <v/>
      </c>
      <c r="H23" s="7">
        <f>H19*($C$3-H22/H19)</f>
        <v/>
      </c>
      <c r="I23" s="7">
        <f>I19*($C$3-I22/I19)</f>
        <v/>
      </c>
      <c r="J23" s="7">
        <f>J19*($C$3-J22/J19)</f>
        <v/>
      </c>
      <c r="K23" s="7">
        <f>K19*($C$3-K22/K19)</f>
        <v/>
      </c>
      <c r="L23" s="7">
        <f>L19*($C$3-L22/L19)</f>
        <v/>
      </c>
      <c r="M23" s="7">
        <f>M19*($C$3-M22/M19)</f>
        <v/>
      </c>
      <c r="N23" s="7">
        <f>N19*($C$3-N22/N19)</f>
        <v/>
      </c>
      <c r="O23" s="7">
        <f>SUM(C23:N23)</f>
        <v/>
      </c>
    </row>
    <row r="24">
      <c r="B24" s="6" t="inlineStr">
        <is>
          <t xml:space="preserve">      Ajuste billing pack PROYECCION §1.1</t>
        </is>
      </c>
      <c r="C24" s="7">
        <f>1500-(C22+C23)</f>
        <v/>
      </c>
      <c r="D24" s="7">
        <f>2168-(D22+D23)</f>
        <v/>
      </c>
      <c r="E24" s="7">
        <f>3100-(E22+E23)</f>
        <v/>
      </c>
      <c r="F24" s="7">
        <f>3700-(F22+F23)</f>
        <v/>
      </c>
      <c r="G24" s="7">
        <f>4250-(G22+G23)</f>
        <v/>
      </c>
      <c r="H24" s="7">
        <f>4850-(H22+H23)</f>
        <v/>
      </c>
      <c r="I24" s="7">
        <f>5400-(I22+I23)</f>
        <v/>
      </c>
      <c r="J24" s="7">
        <f>5950-(J22+J23)</f>
        <v/>
      </c>
      <c r="K24" s="7">
        <f>6500-(K22+K23)</f>
        <v/>
      </c>
      <c r="L24" s="7">
        <f>7050-(L22+L23)</f>
        <v/>
      </c>
      <c r="M24" s="7">
        <f>7550-(M22+M23)</f>
        <v/>
      </c>
      <c r="N24" s="7">
        <f>7950-(N22+N23)</f>
        <v/>
      </c>
      <c r="O24" s="7">
        <f>SUM(C24:N24)</f>
        <v/>
      </c>
    </row>
    <row r="25">
      <c r="B25" s="29" t="inlineStr">
        <is>
          <t>Total Ingresos</t>
        </is>
      </c>
      <c r="C25" s="17">
        <f>C22+C23+C24</f>
        <v/>
      </c>
      <c r="D25" s="17">
        <f>D22+D23+D24</f>
        <v/>
      </c>
      <c r="E25" s="17">
        <f>E22+E23+E24</f>
        <v/>
      </c>
      <c r="F25" s="17">
        <f>F22+F23+F24</f>
        <v/>
      </c>
      <c r="G25" s="17">
        <f>G22+G23+G24</f>
        <v/>
      </c>
      <c r="H25" s="17">
        <f>H22+H23+H24</f>
        <v/>
      </c>
      <c r="I25" s="17">
        <f>I22+I23+I24</f>
        <v/>
      </c>
      <c r="J25" s="17">
        <f>J22+J23+J24</f>
        <v/>
      </c>
      <c r="K25" s="17">
        <f>K22+K23+K24</f>
        <v/>
      </c>
      <c r="L25" s="17">
        <f>L22+L23+L24</f>
        <v/>
      </c>
      <c r="M25" s="17">
        <f>M22+M23+M24</f>
        <v/>
      </c>
      <c r="N25" s="17">
        <f>N22+N23+N24</f>
        <v/>
      </c>
      <c r="O25" s="17">
        <f>SUM(C25:N25)</f>
        <v/>
      </c>
    </row>
    <row r="27">
      <c r="B27" s="12" t="inlineStr">
        <is>
          <t>Costos ($)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B28" s="6" t="inlineStr">
        <is>
          <t xml:space="preserve">      Dev junior (Flutter/Laravel)</t>
        </is>
      </c>
      <c r="C28" s="7">
        <f>'ESTA SI VALE'!$I$60</f>
        <v/>
      </c>
      <c r="D28" s="7">
        <f>'ESTA SI VALE'!$I$60</f>
        <v/>
      </c>
      <c r="E28" s="7">
        <f>'ESTA SI VALE'!$I$60</f>
        <v/>
      </c>
      <c r="F28" s="7">
        <f>'ESTA SI VALE'!$I$60</f>
        <v/>
      </c>
      <c r="G28" s="7">
        <f>'ESTA SI VALE'!$I$60</f>
        <v/>
      </c>
      <c r="H28" s="7">
        <f>'ESTA SI VALE'!$I$60</f>
        <v/>
      </c>
      <c r="I28" s="7">
        <f>'ESTA SI VALE'!$I$60</f>
        <v/>
      </c>
      <c r="J28" s="7">
        <f>'ESTA SI VALE'!$I$60</f>
        <v/>
      </c>
      <c r="K28" s="7">
        <f>'ESTA SI VALE'!$I$60</f>
        <v/>
      </c>
      <c r="L28" s="7">
        <f>'ESTA SI VALE'!$I$60</f>
        <v/>
      </c>
      <c r="M28" s="7">
        <f>'ESTA SI VALE'!$I$60</f>
        <v/>
      </c>
      <c r="N28" s="7">
        <f>'ESTA SI VALE'!$I$60</f>
        <v/>
      </c>
    </row>
    <row r="29">
      <c r="B29" s="6" t="inlineStr">
        <is>
          <t xml:space="preserve">      4× Sales B2B</t>
        </is>
      </c>
      <c r="C29" s="7">
        <f>'ESTA SI VALE'!$I$61</f>
        <v/>
      </c>
      <c r="D29" s="7">
        <f>'ESTA SI VALE'!$I$61</f>
        <v/>
      </c>
      <c r="E29" s="7">
        <f>'ESTA SI VALE'!$I$61</f>
        <v/>
      </c>
      <c r="F29" s="7">
        <f>'ESTA SI VALE'!$I$61</f>
        <v/>
      </c>
      <c r="G29" s="7">
        <f>'ESTA SI VALE'!$I$61</f>
        <v/>
      </c>
      <c r="H29" s="7">
        <f>'ESTA SI VALE'!$I$61</f>
        <v/>
      </c>
      <c r="I29" s="7">
        <f>'ESTA SI VALE'!$I$61</f>
        <v/>
      </c>
      <c r="J29" s="7">
        <f>'ESTA SI VALE'!$I$61</f>
        <v/>
      </c>
      <c r="K29" s="7">
        <f>'ESTA SI VALE'!$I$61</f>
        <v/>
      </c>
      <c r="L29" s="7">
        <f>'ESTA SI VALE'!$I$61</f>
        <v/>
      </c>
      <c r="M29" s="7">
        <f>'ESTA SI VALE'!$I$61</f>
        <v/>
      </c>
      <c r="N29" s="7">
        <f>'ESTA SI VALE'!$I$61</f>
        <v/>
      </c>
    </row>
    <row r="30">
      <c r="B30" s="6" t="inlineStr">
        <is>
          <t xml:space="preserve">      CS + Community Manager</t>
        </is>
      </c>
      <c r="C30" s="7">
        <f>'ESTA SI VALE'!$I$62</f>
        <v/>
      </c>
      <c r="D30" s="7">
        <f>'ESTA SI VALE'!$I$62</f>
        <v/>
      </c>
      <c r="E30" s="7">
        <f>'ESTA SI VALE'!$I$62</f>
        <v/>
      </c>
      <c r="F30" s="7">
        <f>'ESTA SI VALE'!$I$62</f>
        <v/>
      </c>
      <c r="G30" s="7">
        <f>'ESTA SI VALE'!$I$62</f>
        <v/>
      </c>
      <c r="H30" s="7">
        <f>'ESTA SI VALE'!$I$62</f>
        <v/>
      </c>
      <c r="I30" s="7">
        <f>'ESTA SI VALE'!$I$62</f>
        <v/>
      </c>
      <c r="J30" s="7">
        <f>'ESTA SI VALE'!$I$62</f>
        <v/>
      </c>
      <c r="K30" s="7">
        <f>'ESTA SI VALE'!$I$62</f>
        <v/>
      </c>
      <c r="L30" s="7">
        <f>'ESTA SI VALE'!$I$62</f>
        <v/>
      </c>
      <c r="M30" s="7">
        <f>'ESTA SI VALE'!$I$62</f>
        <v/>
      </c>
      <c r="N30" s="7">
        <f>'ESTA SI VALE'!$I$62</f>
        <v/>
      </c>
    </row>
    <row r="31">
      <c r="B31" s="6" t="inlineStr">
        <is>
          <t xml:space="preserve">      Founder + Co-CEO</t>
        </is>
      </c>
      <c r="C31" s="7">
        <f>'ESTA SI VALE'!$I$63</f>
        <v/>
      </c>
      <c r="D31" s="7">
        <f>'ESTA SI VALE'!$I$63</f>
        <v/>
      </c>
      <c r="E31" s="7">
        <f>'ESTA SI VALE'!$I$63</f>
        <v/>
      </c>
      <c r="F31" s="7">
        <f>'ESTA SI VALE'!$I$63</f>
        <v/>
      </c>
      <c r="G31" s="7">
        <f>'ESTA SI VALE'!$I$63</f>
        <v/>
      </c>
      <c r="H31" s="7">
        <f>'ESTA SI VALE'!$I$63</f>
        <v/>
      </c>
      <c r="I31" s="7">
        <f>'ESTA SI VALE'!$I$63</f>
        <v/>
      </c>
      <c r="J31" s="7">
        <f>'ESTA SI VALE'!$I$63</f>
        <v/>
      </c>
      <c r="K31" s="7">
        <f>'ESTA SI VALE'!$I$63</f>
        <v/>
      </c>
      <c r="L31" s="7">
        <f>'ESTA SI VALE'!$I$63</f>
        <v/>
      </c>
      <c r="M31" s="7">
        <f>'ESTA SI VALE'!$I$63</f>
        <v/>
      </c>
      <c r="N31" s="7">
        <f>'ESTA SI VALE'!$I$63</f>
        <v/>
      </c>
    </row>
    <row r="32">
      <c r="B32" s="6" t="inlineStr">
        <is>
          <t xml:space="preserve">      Herramientas IA</t>
        </is>
      </c>
      <c r="C32" s="7">
        <f>'ESTA SI VALE'!$I$64</f>
        <v/>
      </c>
      <c r="D32" s="7">
        <f>'ESTA SI VALE'!$I$64</f>
        <v/>
      </c>
      <c r="E32" s="7">
        <f>'ESTA SI VALE'!$I$64</f>
        <v/>
      </c>
      <c r="F32" s="7">
        <f>'ESTA SI VALE'!$I$64</f>
        <v/>
      </c>
      <c r="G32" s="7">
        <f>'ESTA SI VALE'!$I$64</f>
        <v/>
      </c>
      <c r="H32" s="7">
        <f>'ESTA SI VALE'!$I$64</f>
        <v/>
      </c>
      <c r="I32" s="7">
        <f>'ESTA SI VALE'!$I$64</f>
        <v/>
      </c>
      <c r="J32" s="7">
        <f>'ESTA SI VALE'!$I$64</f>
        <v/>
      </c>
      <c r="K32" s="7">
        <f>'ESTA SI VALE'!$I$64</f>
        <v/>
      </c>
      <c r="L32" s="7">
        <f>'ESTA SI VALE'!$I$64</f>
        <v/>
      </c>
      <c r="M32" s="7">
        <f>'ESTA SI VALE'!$I$64</f>
        <v/>
      </c>
      <c r="N32" s="7">
        <f>'ESTA SI VALE'!$I$64</f>
        <v/>
      </c>
    </row>
    <row r="33">
      <c r="B33" s="6" t="inlineStr">
        <is>
          <t xml:space="preserve">      Contador + Abogado</t>
        </is>
      </c>
      <c r="C33" s="7">
        <f>'ESTA SI VALE'!$I$65</f>
        <v/>
      </c>
      <c r="D33" s="7">
        <f>'ESTA SI VALE'!$I$65</f>
        <v/>
      </c>
      <c r="E33" s="7">
        <f>'ESTA SI VALE'!$I$65</f>
        <v/>
      </c>
      <c r="F33" s="7">
        <f>'ESTA SI VALE'!$I$65</f>
        <v/>
      </c>
      <c r="G33" s="7">
        <f>'ESTA SI VALE'!$I$65</f>
        <v/>
      </c>
      <c r="H33" s="7">
        <f>'ESTA SI VALE'!$I$65</f>
        <v/>
      </c>
      <c r="I33" s="7">
        <f>'ESTA SI VALE'!$I$65</f>
        <v/>
      </c>
      <c r="J33" s="7">
        <f>'ESTA SI VALE'!$I$65</f>
        <v/>
      </c>
      <c r="K33" s="7">
        <f>'ESTA SI VALE'!$I$65</f>
        <v/>
      </c>
      <c r="L33" s="7">
        <f>'ESTA SI VALE'!$I$65</f>
        <v/>
      </c>
      <c r="M33" s="7">
        <f>'ESTA SI VALE'!$I$65</f>
        <v/>
      </c>
      <c r="N33" s="7">
        <f>'ESTA SI VALE'!$I$65</f>
        <v/>
      </c>
    </row>
    <row r="34">
      <c r="B34" s="6" t="inlineStr">
        <is>
          <t xml:space="preserve">      HQ casa (arriendo + servicios)</t>
        </is>
      </c>
      <c r="C34" s="7">
        <f>'ESTA SI VALE'!$I$66</f>
        <v/>
      </c>
      <c r="D34" s="7">
        <f>'ESTA SI VALE'!$I$66</f>
        <v/>
      </c>
      <c r="E34" s="7">
        <f>'ESTA SI VALE'!$I$66</f>
        <v/>
      </c>
      <c r="F34" s="7">
        <f>'ESTA SI VALE'!$I$66</f>
        <v/>
      </c>
      <c r="G34" s="7">
        <f>'ESTA SI VALE'!$I$66</f>
        <v/>
      </c>
      <c r="H34" s="7">
        <f>'ESTA SI VALE'!$I$66</f>
        <v/>
      </c>
      <c r="I34" s="7">
        <f>'ESTA SI VALE'!$I$66</f>
        <v/>
      </c>
      <c r="J34" s="7">
        <f>'ESTA SI VALE'!$I$66</f>
        <v/>
      </c>
      <c r="K34" s="7">
        <f>'ESTA SI VALE'!$I$66</f>
        <v/>
      </c>
      <c r="L34" s="7">
        <f>'ESTA SI VALE'!$I$66</f>
        <v/>
      </c>
      <c r="M34" s="7">
        <f>'ESTA SI VALE'!$I$66</f>
        <v/>
      </c>
      <c r="N34" s="7">
        <f>'ESTA SI VALE'!$I$66</f>
        <v/>
      </c>
    </row>
    <row r="35">
      <c r="B35" s="6" t="inlineStr">
        <is>
          <t xml:space="preserve">      Servicios oficina (electricidad, agua, internet)</t>
        </is>
      </c>
      <c r="C35" s="7">
        <f>'ESTA SI VALE'!$I$67</f>
        <v/>
      </c>
      <c r="D35" s="7">
        <f>'ESTA SI VALE'!$I$67</f>
        <v/>
      </c>
      <c r="E35" s="7">
        <f>'ESTA SI VALE'!$I$67</f>
        <v/>
      </c>
      <c r="F35" s="7">
        <f>'ESTA SI VALE'!$I$67</f>
        <v/>
      </c>
      <c r="G35" s="7">
        <f>'ESTA SI VALE'!$I$67</f>
        <v/>
      </c>
      <c r="H35" s="7">
        <f>'ESTA SI VALE'!$I$67</f>
        <v/>
      </c>
      <c r="I35" s="7">
        <f>'ESTA SI VALE'!$I$67</f>
        <v/>
      </c>
      <c r="J35" s="7">
        <f>'ESTA SI VALE'!$I$67</f>
        <v/>
      </c>
      <c r="K35" s="7">
        <f>'ESTA SI VALE'!$I$67</f>
        <v/>
      </c>
      <c r="L35" s="7">
        <f>'ESTA SI VALE'!$I$67</f>
        <v/>
      </c>
      <c r="M35" s="7">
        <f>'ESTA SI VALE'!$I$67</f>
        <v/>
      </c>
      <c r="N35" s="7">
        <f>'ESTA SI VALE'!$I$67</f>
        <v/>
      </c>
    </row>
    <row r="36">
      <c r="B36" s="6" t="inlineStr">
        <is>
          <t xml:space="preserve">      Hosting + SaaS + Firebase OTP</t>
        </is>
      </c>
      <c r="C36" s="7">
        <f>'ESTA SI VALE'!$I$68</f>
        <v/>
      </c>
      <c r="D36" s="7">
        <f>'ESTA SI VALE'!$I$68</f>
        <v/>
      </c>
      <c r="E36" s="7">
        <f>'ESTA SI VALE'!$I$68</f>
        <v/>
      </c>
      <c r="F36" s="7">
        <f>'ESTA SI VALE'!$I$68</f>
        <v/>
      </c>
      <c r="G36" s="7">
        <f>'ESTA SI VALE'!$I$68</f>
        <v/>
      </c>
      <c r="H36" s="7">
        <f>'ESTA SI VALE'!$I$68</f>
        <v/>
      </c>
      <c r="I36" s="7">
        <f>'ESTA SI VALE'!$I$68</f>
        <v/>
      </c>
      <c r="J36" s="7">
        <f>'ESTA SI VALE'!$I$68</f>
        <v/>
      </c>
      <c r="K36" s="7">
        <f>'ESTA SI VALE'!$I$68</f>
        <v/>
      </c>
      <c r="L36" s="7">
        <f>'ESTA SI VALE'!$I$68</f>
        <v/>
      </c>
      <c r="M36" s="7">
        <f>'ESTA SI VALE'!$I$68</f>
        <v/>
      </c>
      <c r="N36" s="7">
        <f>'ESTA SI VALE'!$I$68</f>
        <v/>
      </c>
    </row>
    <row r="37">
      <c r="B37" s="6" t="inlineStr">
        <is>
          <t xml:space="preserve">      Meta Ads</t>
        </is>
      </c>
      <c r="C37" s="7" t="n">
        <v>800</v>
      </c>
      <c r="D37" s="7" t="n">
        <v>800</v>
      </c>
      <c r="E37" s="7" t="n">
        <v>800</v>
      </c>
      <c r="F37" s="7" t="n">
        <v>800</v>
      </c>
      <c r="G37" s="7" t="n">
        <v>800</v>
      </c>
      <c r="H37" s="7" t="n">
        <v>800</v>
      </c>
      <c r="I37" s="7" t="n">
        <v>500</v>
      </c>
      <c r="J37" s="7" t="n">
        <v>500</v>
      </c>
      <c r="K37" s="7" t="n">
        <v>500</v>
      </c>
      <c r="L37" s="7" t="n">
        <v>500</v>
      </c>
      <c r="M37" s="7" t="n">
        <v>500</v>
      </c>
      <c r="N37" s="7" t="n">
        <v>500</v>
      </c>
      <c r="O37" s="7">
        <f>SUM(C37:N37)</f>
        <v/>
      </c>
    </row>
    <row r="38">
      <c r="B38" s="6" t="inlineStr">
        <is>
          <t xml:space="preserve">      Valla pequeña (desde M3)</t>
        </is>
      </c>
      <c r="C38" s="7" t="n">
        <v>0</v>
      </c>
      <c r="D38" s="7" t="n">
        <v>0</v>
      </c>
      <c r="E38" s="7" t="n">
        <v>350</v>
      </c>
      <c r="F38" s="7" t="n">
        <v>350</v>
      </c>
      <c r="G38" s="7" t="n">
        <v>350</v>
      </c>
      <c r="H38" s="7" t="n">
        <v>350</v>
      </c>
      <c r="I38" s="7" t="n">
        <v>350</v>
      </c>
      <c r="J38" s="7" t="n">
        <v>350</v>
      </c>
      <c r="K38" s="7" t="n">
        <v>350</v>
      </c>
      <c r="L38" s="7" t="n">
        <v>350</v>
      </c>
      <c r="M38" s="7" t="n">
        <v>350</v>
      </c>
      <c r="N38" s="7" t="n">
        <v>350</v>
      </c>
      <c r="O38" s="7">
        <f>SUM(C38:N38)</f>
        <v/>
      </c>
    </row>
    <row r="39">
      <c r="B39" s="6" t="inlineStr">
        <is>
          <t xml:space="preserve">      Material + transporte + contingencia (incl. buffer VE 20%)</t>
        </is>
      </c>
      <c r="C39" s="7" t="n">
        <v>1322</v>
      </c>
      <c r="D39" s="7" t="n">
        <v>1322</v>
      </c>
      <c r="E39" s="7" t="n">
        <v>1308</v>
      </c>
      <c r="F39" s="7" t="n">
        <v>1308</v>
      </c>
      <c r="G39" s="7" t="n">
        <v>1308</v>
      </c>
      <c r="H39" s="7" t="n">
        <v>1308</v>
      </c>
      <c r="I39" s="7" t="n">
        <v>1241</v>
      </c>
      <c r="J39" s="7" t="n">
        <v>1241</v>
      </c>
      <c r="K39" s="7" t="n">
        <v>1241</v>
      </c>
      <c r="L39" s="7" t="n">
        <v>1241</v>
      </c>
      <c r="M39" s="7" t="n">
        <v>1241</v>
      </c>
      <c r="N39" s="7" t="n">
        <v>1241</v>
      </c>
      <c r="O39" s="7">
        <f>SUM(C39:N39)</f>
        <v/>
      </c>
    </row>
    <row r="40">
      <c r="B40" s="29" t="inlineStr">
        <is>
          <t>Total Costos</t>
        </is>
      </c>
      <c r="C40" s="17">
        <f>C28+C29+C30+C31+C32+C33+C34+C35+C36+C37+C38+C39</f>
        <v/>
      </c>
      <c r="D40" s="17">
        <f>D28+D29+D30+D31+D32+D33+D34+D35+D36+D37+D38+D39</f>
        <v/>
      </c>
      <c r="E40" s="17">
        <f>E28+E29+E30+E31+E32+E33+E34+E35+E36+E37+E38+E39</f>
        <v/>
      </c>
      <c r="F40" s="17">
        <f>F28+F29+F30+F31+F32+F33+F34+F35+F36+F37+F38+F39</f>
        <v/>
      </c>
      <c r="G40" s="17">
        <f>G28+G29+G30+G31+G32+G33+G34+G35+G36+G37+G38+G39</f>
        <v/>
      </c>
      <c r="H40" s="17">
        <f>H28+H29+H30+H31+H32+H33+H34+H35+H36+H37+H38+H39</f>
        <v/>
      </c>
      <c r="I40" s="17">
        <f>I28+I29+I30+I31+I32+I33+I34+I35+I36+I37+I38+I39</f>
        <v/>
      </c>
      <c r="J40" s="17">
        <f>J28+J29+J30+J31+J32+J33+J34+J35+J36+J37+J38+J39</f>
        <v/>
      </c>
      <c r="K40" s="17">
        <f>K28+K29+K30+K31+K32+K33+K34+K35+K36+K37+K38+K39</f>
        <v/>
      </c>
      <c r="L40" s="17">
        <f>L28+L29+L30+L31+L32+L33+L34+L35+L36+L37+L38+L39</f>
        <v/>
      </c>
      <c r="M40" s="17">
        <f>M28+M29+M30+M31+M32+M33+M34+M35+M36+M37+M38+M39</f>
        <v/>
      </c>
      <c r="N40" s="17">
        <f>N28+N29+N30+N31+N32+N33+N34+N35+N36+N37+N38+N39</f>
        <v/>
      </c>
      <c r="O40" s="17">
        <f>SUM(C40:N40)</f>
        <v/>
      </c>
    </row>
    <row r="42">
      <c r="B42" s="30" t="inlineStr">
        <is>
          <t>FCF</t>
        </is>
      </c>
      <c r="C42" s="31">
        <f>C25-C40</f>
        <v/>
      </c>
      <c r="D42" s="31">
        <f>D25-D40</f>
        <v/>
      </c>
      <c r="E42" s="31">
        <f>E25-E40</f>
        <v/>
      </c>
      <c r="F42" s="31">
        <f>F25-F40</f>
        <v/>
      </c>
      <c r="G42" s="31">
        <f>G25-G40</f>
        <v/>
      </c>
      <c r="H42" s="31">
        <f>H25-H40</f>
        <v/>
      </c>
      <c r="I42" s="31">
        <f>I25-I40</f>
        <v/>
      </c>
      <c r="J42" s="31">
        <f>J25-J40</f>
        <v/>
      </c>
      <c r="K42" s="31">
        <f>K25-K40</f>
        <v/>
      </c>
      <c r="L42" s="31">
        <f>L25-L40</f>
        <v/>
      </c>
      <c r="M42" s="31">
        <f>M25-M40</f>
        <v/>
      </c>
      <c r="N42" s="31">
        <f>N25-N40</f>
        <v/>
      </c>
      <c r="O42" s="31">
        <f>SUM(C42:N42)</f>
        <v/>
      </c>
    </row>
    <row r="43">
      <c r="B43" s="6" t="inlineStr">
        <is>
          <t>FCF acumulado</t>
        </is>
      </c>
      <c r="C43" s="7">
        <f>C42</f>
        <v/>
      </c>
      <c r="D43" s="7">
        <f>C43+D42</f>
        <v/>
      </c>
      <c r="E43" s="7">
        <f>D43+E42</f>
        <v/>
      </c>
      <c r="F43" s="7">
        <f>E43+F42</f>
        <v/>
      </c>
      <c r="G43" s="7">
        <f>F43+G42</f>
        <v/>
      </c>
      <c r="H43" s="7">
        <f>G43+H42</f>
        <v/>
      </c>
      <c r="I43" s="7">
        <f>H43+I42</f>
        <v/>
      </c>
      <c r="J43" s="7">
        <f>I43+J42</f>
        <v/>
      </c>
      <c r="K43" s="7">
        <f>J43+K42</f>
        <v/>
      </c>
      <c r="L43" s="7">
        <f>K43+L42</f>
        <v/>
      </c>
      <c r="M43" s="7">
        <f>L43+M42</f>
        <v/>
      </c>
      <c r="N43" s="7">
        <f>M43+N42</f>
        <v/>
      </c>
      <c r="O43" s="7">
        <f>N43</f>
        <v/>
      </c>
    </row>
    <row r="44">
      <c r="B44" s="6" t="inlineStr">
        <is>
          <t>CCF (inversor SAFE 18,66%)</t>
        </is>
      </c>
      <c r="C44" s="7">
        <f>C42*$C$11</f>
        <v/>
      </c>
      <c r="D44" s="7">
        <f>D42*$C$11</f>
        <v/>
      </c>
      <c r="E44" s="7">
        <f>E42*$C$11</f>
        <v/>
      </c>
      <c r="F44" s="7">
        <f>F42*$C$11</f>
        <v/>
      </c>
      <c r="G44" s="7">
        <f>G42*$C$11</f>
        <v/>
      </c>
      <c r="H44" s="7">
        <f>H42*$C$11</f>
        <v/>
      </c>
      <c r="I44" s="7">
        <f>I42*$C$11</f>
        <v/>
      </c>
      <c r="J44" s="7">
        <f>J42*$C$11</f>
        <v/>
      </c>
      <c r="K44" s="7">
        <f>K42*$C$11</f>
        <v/>
      </c>
      <c r="L44" s="7">
        <f>L42*$C$11</f>
        <v/>
      </c>
      <c r="M44" s="7">
        <f>M42*$C$11</f>
        <v/>
      </c>
      <c r="N44" s="7">
        <f>N42*$C$11</f>
        <v/>
      </c>
    </row>
    <row r="45">
      <c r="B45" s="6" t="inlineStr">
        <is>
          <t>ECF (founders 81,34%)</t>
        </is>
      </c>
      <c r="C45" s="7">
        <f>C42-C44</f>
        <v/>
      </c>
      <c r="D45" s="7">
        <f>D42-D44</f>
        <v/>
      </c>
      <c r="E45" s="7">
        <f>E42-E44</f>
        <v/>
      </c>
      <c r="F45" s="7">
        <f>F42-F44</f>
        <v/>
      </c>
      <c r="G45" s="7">
        <f>G42-G44</f>
        <v/>
      </c>
      <c r="H45" s="7">
        <f>H42-H44</f>
        <v/>
      </c>
      <c r="I45" s="7">
        <f>I42-I44</f>
        <v/>
      </c>
      <c r="J45" s="7">
        <f>J42-J44</f>
        <v/>
      </c>
      <c r="K45" s="7">
        <f>K42-K44</f>
        <v/>
      </c>
      <c r="L45" s="7">
        <f>L42-L44</f>
        <v/>
      </c>
      <c r="M45" s="7">
        <f>M42-M44</f>
        <v/>
      </c>
      <c r="N45" s="7">
        <f>N42-N44</f>
        <v/>
      </c>
    </row>
    <row r="47">
      <c r="B47" s="12" t="inlineStr">
        <is>
          <t>Cash deployment (post Day-D)</t>
        </is>
      </c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B48" s="6" t="inlineStr">
        <is>
          <t>Cash inicial mes</t>
        </is>
      </c>
      <c r="C48" s="7">
        <f>'Detallado de la inversión.'!G74</f>
        <v/>
      </c>
      <c r="D48" s="7">
        <f>C49</f>
        <v/>
      </c>
      <c r="E48" s="7">
        <f>D49</f>
        <v/>
      </c>
      <c r="F48" s="7">
        <f>E49</f>
        <v/>
      </c>
      <c r="G48" s="7">
        <f>F49</f>
        <v/>
      </c>
      <c r="H48" s="7">
        <f>G49</f>
        <v/>
      </c>
      <c r="I48" s="7">
        <f>H49</f>
        <v/>
      </c>
      <c r="J48" s="7">
        <f>I49</f>
        <v/>
      </c>
      <c r="K48" s="7">
        <f>J49</f>
        <v/>
      </c>
      <c r="L48" s="7">
        <f>K49</f>
        <v/>
      </c>
      <c r="M48" s="7">
        <f>L49</f>
        <v/>
      </c>
      <c r="N48" s="7">
        <f>M49</f>
        <v/>
      </c>
    </row>
    <row r="49">
      <c r="B49" s="6" t="inlineStr">
        <is>
          <t>Cash final mes</t>
        </is>
      </c>
      <c r="C49" s="7">
        <f>C48+C25-C40</f>
        <v/>
      </c>
      <c r="D49" s="7">
        <f>D48+D25-D40</f>
        <v/>
      </c>
      <c r="E49" s="7">
        <f>E48+E25-E40</f>
        <v/>
      </c>
      <c r="F49" s="7">
        <f>F48+F25-F40</f>
        <v/>
      </c>
      <c r="G49" s="7">
        <f>G48+G25-G40</f>
        <v/>
      </c>
      <c r="H49" s="7">
        <f>H48+H25-H40</f>
        <v/>
      </c>
      <c r="I49" s="7">
        <f>I48+I25-I40</f>
        <v/>
      </c>
      <c r="J49" s="7">
        <f>J48+J25-J40</f>
        <v/>
      </c>
      <c r="K49" s="7">
        <f>K48+K25-K40</f>
        <v/>
      </c>
      <c r="L49" s="7">
        <f>L48+L25-L40</f>
        <v/>
      </c>
      <c r="M49" s="7">
        <f>M48+M25-M40</f>
        <v/>
      </c>
      <c r="N49" s="7">
        <f>N48+N25-N40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1'!N19</f>
        <v/>
      </c>
    </row>
    <row r="4">
      <c r="B4" s="6" t="inlineStr">
        <is>
          <t>Revenue anual USD [LARGO PLAZO]</t>
        </is>
      </c>
      <c r="C4" s="7" t="n">
        <v>102000</v>
      </c>
    </row>
    <row r="5">
      <c r="B5" s="6" t="inlineStr">
        <is>
          <t>Costos anual USD [LARGO PLAZO]</t>
        </is>
      </c>
      <c r="C5" s="7" t="n">
        <v>96000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§2</t>
        </is>
      </c>
    </row>
    <row r="9">
      <c r="B9" s="16" t="inlineStr">
        <is>
          <t>AÑO 2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187</v>
      </c>
      <c r="D11" s="7" t="n">
        <v>187</v>
      </c>
      <c r="E11" s="7" t="n">
        <v>187</v>
      </c>
      <c r="F11" s="7" t="n">
        <v>187</v>
      </c>
      <c r="G11" s="7" t="n">
        <v>187</v>
      </c>
      <c r="H11" s="7" t="n">
        <v>187</v>
      </c>
      <c r="I11" s="7" t="n">
        <v>187</v>
      </c>
      <c r="J11" s="7" t="n">
        <v>187</v>
      </c>
      <c r="K11" s="7" t="n">
        <v>187</v>
      </c>
      <c r="L11" s="7" t="n">
        <v>187</v>
      </c>
      <c r="M11" s="7" t="n">
        <v>187</v>
      </c>
      <c r="N11" s="7" t="n">
        <v>187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6667.17</v>
      </c>
      <c r="D14" s="7" t="n">
        <v>6667.17</v>
      </c>
      <c r="E14" s="7" t="n">
        <v>6667.17</v>
      </c>
      <c r="F14" s="7" t="n">
        <v>8046.58</v>
      </c>
      <c r="G14" s="7" t="n">
        <v>8046.58</v>
      </c>
      <c r="H14" s="7" t="n">
        <v>8046.58</v>
      </c>
      <c r="I14" s="7" t="n">
        <v>9196.09</v>
      </c>
      <c r="J14" s="7" t="n">
        <v>9196.09</v>
      </c>
      <c r="K14" s="7" t="n">
        <v>9196.09</v>
      </c>
      <c r="L14" s="7" t="n">
        <v>10090.16</v>
      </c>
      <c r="M14" s="7" t="n">
        <v>10090.16</v>
      </c>
      <c r="N14" s="7" t="n">
        <v>10090.16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2691.47</v>
      </c>
      <c r="D18" s="7" t="n">
        <v>2691.47</v>
      </c>
      <c r="E18" s="7" t="n">
        <v>2691.47</v>
      </c>
      <c r="F18" s="7" t="n">
        <v>2778.29</v>
      </c>
      <c r="G18" s="7" t="n">
        <v>2778.29</v>
      </c>
      <c r="H18" s="7" t="n">
        <v>2778.29</v>
      </c>
      <c r="I18" s="7" t="n">
        <v>2865.12</v>
      </c>
      <c r="J18" s="7" t="n">
        <v>2865.12</v>
      </c>
      <c r="K18" s="7" t="n">
        <v>2865.12</v>
      </c>
      <c r="L18" s="7" t="n">
        <v>2865.12</v>
      </c>
      <c r="M18" s="7" t="n">
        <v>2865.12</v>
      </c>
      <c r="N18" s="7" t="n">
        <v>2865.12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1384.19</v>
      </c>
      <c r="D19" s="7" t="n">
        <v>1384.19</v>
      </c>
      <c r="E19" s="7" t="n">
        <v>1384.19</v>
      </c>
      <c r="F19" s="7" t="n">
        <v>1428.84</v>
      </c>
      <c r="G19" s="7" t="n">
        <v>1428.84</v>
      </c>
      <c r="H19" s="7" t="n">
        <v>1428.84</v>
      </c>
      <c r="I19" s="7" t="n">
        <v>1473.49</v>
      </c>
      <c r="J19" s="7" t="n">
        <v>1473.49</v>
      </c>
      <c r="K19" s="7" t="n">
        <v>1473.49</v>
      </c>
      <c r="L19" s="7" t="n">
        <v>1473.49</v>
      </c>
      <c r="M19" s="7" t="n">
        <v>1473.49</v>
      </c>
      <c r="N19" s="7" t="n">
        <v>1473.49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615.1900000000001</v>
      </c>
      <c r="D20" s="7" t="n">
        <v>615.1900000000001</v>
      </c>
      <c r="E20" s="7" t="n">
        <v>615.1900000000001</v>
      </c>
      <c r="F20" s="7" t="n">
        <v>635.04</v>
      </c>
      <c r="G20" s="7" t="n">
        <v>635.04</v>
      </c>
      <c r="H20" s="7" t="n">
        <v>635.04</v>
      </c>
      <c r="I20" s="7" t="n">
        <v>654.88</v>
      </c>
      <c r="J20" s="7" t="n">
        <v>654.88</v>
      </c>
      <c r="K20" s="7" t="n">
        <v>654.88</v>
      </c>
      <c r="L20" s="7" t="n">
        <v>654.88</v>
      </c>
      <c r="M20" s="7" t="n">
        <v>654.88</v>
      </c>
      <c r="N20" s="7" t="n">
        <v>654.88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538.29</v>
      </c>
      <c r="D21" s="7" t="n">
        <v>538.29</v>
      </c>
      <c r="E21" s="7" t="n">
        <v>538.29</v>
      </c>
      <c r="F21" s="7" t="n">
        <v>555.66</v>
      </c>
      <c r="G21" s="7" t="n">
        <v>555.66</v>
      </c>
      <c r="H21" s="7" t="n">
        <v>555.66</v>
      </c>
      <c r="I21" s="7" t="n">
        <v>573.02</v>
      </c>
      <c r="J21" s="7" t="n">
        <v>573.02</v>
      </c>
      <c r="K21" s="7" t="n">
        <v>573.02</v>
      </c>
      <c r="L21" s="7" t="n">
        <v>573.02</v>
      </c>
      <c r="M21" s="7" t="n">
        <v>573.02</v>
      </c>
      <c r="N21" s="7" t="n">
        <v>573.02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922.79</v>
      </c>
      <c r="D22" s="7" t="n">
        <v>922.79</v>
      </c>
      <c r="E22" s="7" t="n">
        <v>922.79</v>
      </c>
      <c r="F22" s="7" t="n">
        <v>952.5599999999999</v>
      </c>
      <c r="G22" s="7" t="n">
        <v>952.5599999999999</v>
      </c>
      <c r="H22" s="7" t="n">
        <v>952.5599999999999</v>
      </c>
      <c r="I22" s="7" t="n">
        <v>982.33</v>
      </c>
      <c r="J22" s="7" t="n">
        <v>982.33</v>
      </c>
      <c r="K22" s="7" t="n">
        <v>982.33</v>
      </c>
      <c r="L22" s="7" t="n">
        <v>982.33</v>
      </c>
      <c r="M22" s="7" t="n">
        <v>982.33</v>
      </c>
      <c r="N22" s="7" t="n">
        <v>982.33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1537.98</v>
      </c>
      <c r="D23" s="7" t="n">
        <v>1537.98</v>
      </c>
      <c r="E23" s="7" t="n">
        <v>1537.98</v>
      </c>
      <c r="F23" s="7" t="n">
        <v>1587.6</v>
      </c>
      <c r="G23" s="7" t="n">
        <v>1587.6</v>
      </c>
      <c r="H23" s="7" t="n">
        <v>1587.6</v>
      </c>
      <c r="I23" s="7" t="n">
        <v>1637.21</v>
      </c>
      <c r="J23" s="7" t="n">
        <v>1637.21</v>
      </c>
      <c r="K23" s="7" t="n">
        <v>1637.21</v>
      </c>
      <c r="L23" s="7" t="n">
        <v>1637.21</v>
      </c>
      <c r="M23" s="7" t="n">
        <v>1637.21</v>
      </c>
      <c r="N23" s="7" t="n">
        <v>1637.21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2'!N11</f>
        <v/>
      </c>
    </row>
    <row r="4">
      <c r="B4" s="6" t="inlineStr">
        <is>
          <t>Revenue anual USD [LARGO PLAZO]</t>
        </is>
      </c>
      <c r="C4" s="7" t="n">
        <v>192000</v>
      </c>
    </row>
    <row r="5">
      <c r="B5" s="6" t="inlineStr">
        <is>
          <t>Costos anual USD [LARGO PLAZO]</t>
        </is>
      </c>
      <c r="C5" s="7" t="n">
        <v>108000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§3</t>
        </is>
      </c>
    </row>
    <row r="9">
      <c r="B9" s="16" t="inlineStr">
        <is>
          <t>AÑO 3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374</v>
      </c>
      <c r="D11" s="7" t="n">
        <v>374</v>
      </c>
      <c r="E11" s="7" t="n">
        <v>374</v>
      </c>
      <c r="F11" s="7" t="n">
        <v>374</v>
      </c>
      <c r="G11" s="7" t="n">
        <v>374</v>
      </c>
      <c r="H11" s="7" t="n">
        <v>374</v>
      </c>
      <c r="I11" s="7" t="n">
        <v>374</v>
      </c>
      <c r="J11" s="7" t="n">
        <v>374</v>
      </c>
      <c r="K11" s="7" t="n">
        <v>374</v>
      </c>
      <c r="L11" s="7" t="n">
        <v>374</v>
      </c>
      <c r="M11" s="7" t="n">
        <v>374</v>
      </c>
      <c r="N11" s="7" t="n">
        <v>374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12325.93</v>
      </c>
      <c r="D14" s="7" t="n">
        <v>12325.93</v>
      </c>
      <c r="E14" s="7" t="n">
        <v>12325.93</v>
      </c>
      <c r="F14" s="7" t="n">
        <v>14696.3</v>
      </c>
      <c r="G14" s="7" t="n">
        <v>14696.3</v>
      </c>
      <c r="H14" s="7" t="n">
        <v>14696.3</v>
      </c>
      <c r="I14" s="7" t="n">
        <v>17066.67</v>
      </c>
      <c r="J14" s="7" t="n">
        <v>17066.67</v>
      </c>
      <c r="K14" s="7" t="n">
        <v>17066.67</v>
      </c>
      <c r="L14" s="7" t="n">
        <v>19911.11</v>
      </c>
      <c r="M14" s="7" t="n">
        <v>19911.11</v>
      </c>
      <c r="N14" s="7" t="n">
        <v>19911.11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2625</v>
      </c>
      <c r="D18" s="7" t="n">
        <v>2625</v>
      </c>
      <c r="E18" s="7" t="n">
        <v>2625</v>
      </c>
      <c r="F18" s="7" t="n">
        <v>2975</v>
      </c>
      <c r="G18" s="7" t="n">
        <v>2975</v>
      </c>
      <c r="H18" s="7" t="n">
        <v>2975</v>
      </c>
      <c r="I18" s="7" t="n">
        <v>3325</v>
      </c>
      <c r="J18" s="7" t="n">
        <v>3325</v>
      </c>
      <c r="K18" s="7" t="n">
        <v>3325</v>
      </c>
      <c r="L18" s="7" t="n">
        <v>3675</v>
      </c>
      <c r="M18" s="7" t="n">
        <v>3675</v>
      </c>
      <c r="N18" s="7" t="n">
        <v>3675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1350</v>
      </c>
      <c r="D19" s="7" t="n">
        <v>1350</v>
      </c>
      <c r="E19" s="7" t="n">
        <v>1350</v>
      </c>
      <c r="F19" s="7" t="n">
        <v>1530</v>
      </c>
      <c r="G19" s="7" t="n">
        <v>1530</v>
      </c>
      <c r="H19" s="7" t="n">
        <v>1530</v>
      </c>
      <c r="I19" s="7" t="n">
        <v>1710</v>
      </c>
      <c r="J19" s="7" t="n">
        <v>1710</v>
      </c>
      <c r="K19" s="7" t="n">
        <v>1710</v>
      </c>
      <c r="L19" s="7" t="n">
        <v>1890</v>
      </c>
      <c r="M19" s="7" t="n">
        <v>1890</v>
      </c>
      <c r="N19" s="7" t="n">
        <v>1890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600</v>
      </c>
      <c r="D20" s="7" t="n">
        <v>600</v>
      </c>
      <c r="E20" s="7" t="n">
        <v>600</v>
      </c>
      <c r="F20" s="7" t="n">
        <v>680</v>
      </c>
      <c r="G20" s="7" t="n">
        <v>680</v>
      </c>
      <c r="H20" s="7" t="n">
        <v>680</v>
      </c>
      <c r="I20" s="7" t="n">
        <v>760</v>
      </c>
      <c r="J20" s="7" t="n">
        <v>760</v>
      </c>
      <c r="K20" s="7" t="n">
        <v>760</v>
      </c>
      <c r="L20" s="7" t="n">
        <v>840</v>
      </c>
      <c r="M20" s="7" t="n">
        <v>840</v>
      </c>
      <c r="N20" s="7" t="n">
        <v>840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525</v>
      </c>
      <c r="D21" s="7" t="n">
        <v>525</v>
      </c>
      <c r="E21" s="7" t="n">
        <v>525</v>
      </c>
      <c r="F21" s="7" t="n">
        <v>595</v>
      </c>
      <c r="G21" s="7" t="n">
        <v>595</v>
      </c>
      <c r="H21" s="7" t="n">
        <v>595</v>
      </c>
      <c r="I21" s="7" t="n">
        <v>665</v>
      </c>
      <c r="J21" s="7" t="n">
        <v>665</v>
      </c>
      <c r="K21" s="7" t="n">
        <v>665</v>
      </c>
      <c r="L21" s="7" t="n">
        <v>735</v>
      </c>
      <c r="M21" s="7" t="n">
        <v>735</v>
      </c>
      <c r="N21" s="7" t="n">
        <v>735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900</v>
      </c>
      <c r="D22" s="7" t="n">
        <v>900</v>
      </c>
      <c r="E22" s="7" t="n">
        <v>900</v>
      </c>
      <c r="F22" s="7" t="n">
        <v>1020</v>
      </c>
      <c r="G22" s="7" t="n">
        <v>1020</v>
      </c>
      <c r="H22" s="7" t="n">
        <v>1020</v>
      </c>
      <c r="I22" s="7" t="n">
        <v>1140</v>
      </c>
      <c r="J22" s="7" t="n">
        <v>1140</v>
      </c>
      <c r="K22" s="7" t="n">
        <v>1140</v>
      </c>
      <c r="L22" s="7" t="n">
        <v>1260</v>
      </c>
      <c r="M22" s="7" t="n">
        <v>1260</v>
      </c>
      <c r="N22" s="7" t="n">
        <v>1260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1500</v>
      </c>
      <c r="D23" s="7" t="n">
        <v>1500</v>
      </c>
      <c r="E23" s="7" t="n">
        <v>1500</v>
      </c>
      <c r="F23" s="7" t="n">
        <v>1700</v>
      </c>
      <c r="G23" s="7" t="n">
        <v>1700</v>
      </c>
      <c r="H23" s="7" t="n">
        <v>1700</v>
      </c>
      <c r="I23" s="7" t="n">
        <v>1900</v>
      </c>
      <c r="J23" s="7" t="n">
        <v>1900</v>
      </c>
      <c r="K23" s="7" t="n">
        <v>1900</v>
      </c>
      <c r="L23" s="7" t="n">
        <v>2100</v>
      </c>
      <c r="M23" s="7" t="n">
        <v>2100</v>
      </c>
      <c r="N23" s="7" t="n">
        <v>2100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3'!N11</f>
        <v/>
      </c>
    </row>
    <row r="4">
      <c r="B4" s="6" t="inlineStr">
        <is>
          <t>Revenue anual USD [LARGO PLAZO]</t>
        </is>
      </c>
      <c r="C4" s="7" t="n">
        <v>240000</v>
      </c>
    </row>
    <row r="5">
      <c r="B5" s="6" t="inlineStr">
        <is>
          <t>Costos anual USD [LARGO PLAZO]</t>
        </is>
      </c>
      <c r="C5" s="7" t="n">
        <v>130000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4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442</v>
      </c>
      <c r="D11" s="7" t="n">
        <v>442</v>
      </c>
      <c r="E11" s="7" t="n">
        <v>442</v>
      </c>
      <c r="F11" s="7" t="n">
        <v>442</v>
      </c>
      <c r="G11" s="7" t="n">
        <v>442</v>
      </c>
      <c r="H11" s="7" t="n">
        <v>442</v>
      </c>
      <c r="I11" s="7" t="n">
        <v>442</v>
      </c>
      <c r="J11" s="7" t="n">
        <v>442</v>
      </c>
      <c r="K11" s="7" t="n">
        <v>442</v>
      </c>
      <c r="L11" s="7" t="n">
        <v>442</v>
      </c>
      <c r="M11" s="7" t="n">
        <v>442</v>
      </c>
      <c r="N11" s="7" t="n">
        <v>442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20000</v>
      </c>
      <c r="D14" s="7" t="n">
        <v>20000</v>
      </c>
      <c r="E14" s="7" t="n">
        <v>20000</v>
      </c>
      <c r="F14" s="7" t="n">
        <v>20000</v>
      </c>
      <c r="G14" s="7" t="n">
        <v>20000</v>
      </c>
      <c r="H14" s="7" t="n">
        <v>20000</v>
      </c>
      <c r="I14" s="7" t="n">
        <v>20000</v>
      </c>
      <c r="J14" s="7" t="n">
        <v>20000</v>
      </c>
      <c r="K14" s="7" t="n">
        <v>20000</v>
      </c>
      <c r="L14" s="7" t="n">
        <v>20000</v>
      </c>
      <c r="M14" s="7" t="n">
        <v>20000</v>
      </c>
      <c r="N14" s="7" t="n">
        <v>20000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3791.67</v>
      </c>
      <c r="D18" s="7" t="n">
        <v>3791.67</v>
      </c>
      <c r="E18" s="7" t="n">
        <v>3791.67</v>
      </c>
      <c r="F18" s="7" t="n">
        <v>3791.67</v>
      </c>
      <c r="G18" s="7" t="n">
        <v>3791.67</v>
      </c>
      <c r="H18" s="7" t="n">
        <v>3791.67</v>
      </c>
      <c r="I18" s="7" t="n">
        <v>3791.67</v>
      </c>
      <c r="J18" s="7" t="n">
        <v>3791.67</v>
      </c>
      <c r="K18" s="7" t="n">
        <v>3791.67</v>
      </c>
      <c r="L18" s="7" t="n">
        <v>3791.67</v>
      </c>
      <c r="M18" s="7" t="n">
        <v>3791.67</v>
      </c>
      <c r="N18" s="7" t="n">
        <v>3791.67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1950</v>
      </c>
      <c r="D19" s="7" t="n">
        <v>1950</v>
      </c>
      <c r="E19" s="7" t="n">
        <v>1950</v>
      </c>
      <c r="F19" s="7" t="n">
        <v>1950</v>
      </c>
      <c r="G19" s="7" t="n">
        <v>1950</v>
      </c>
      <c r="H19" s="7" t="n">
        <v>1950</v>
      </c>
      <c r="I19" s="7" t="n">
        <v>1950</v>
      </c>
      <c r="J19" s="7" t="n">
        <v>1950</v>
      </c>
      <c r="K19" s="7" t="n">
        <v>1950</v>
      </c>
      <c r="L19" s="7" t="n">
        <v>1950</v>
      </c>
      <c r="M19" s="7" t="n">
        <v>1950</v>
      </c>
      <c r="N19" s="7" t="n">
        <v>1950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866.67</v>
      </c>
      <c r="D20" s="7" t="n">
        <v>866.67</v>
      </c>
      <c r="E20" s="7" t="n">
        <v>866.67</v>
      </c>
      <c r="F20" s="7" t="n">
        <v>866.67</v>
      </c>
      <c r="G20" s="7" t="n">
        <v>866.67</v>
      </c>
      <c r="H20" s="7" t="n">
        <v>866.67</v>
      </c>
      <c r="I20" s="7" t="n">
        <v>866.67</v>
      </c>
      <c r="J20" s="7" t="n">
        <v>866.67</v>
      </c>
      <c r="K20" s="7" t="n">
        <v>866.67</v>
      </c>
      <c r="L20" s="7" t="n">
        <v>866.67</v>
      </c>
      <c r="M20" s="7" t="n">
        <v>866.67</v>
      </c>
      <c r="N20" s="7" t="n">
        <v>866.67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758.33</v>
      </c>
      <c r="D21" s="7" t="n">
        <v>758.33</v>
      </c>
      <c r="E21" s="7" t="n">
        <v>758.33</v>
      </c>
      <c r="F21" s="7" t="n">
        <v>758.33</v>
      </c>
      <c r="G21" s="7" t="n">
        <v>758.33</v>
      </c>
      <c r="H21" s="7" t="n">
        <v>758.33</v>
      </c>
      <c r="I21" s="7" t="n">
        <v>758.33</v>
      </c>
      <c r="J21" s="7" t="n">
        <v>758.33</v>
      </c>
      <c r="K21" s="7" t="n">
        <v>758.33</v>
      </c>
      <c r="L21" s="7" t="n">
        <v>758.33</v>
      </c>
      <c r="M21" s="7" t="n">
        <v>758.33</v>
      </c>
      <c r="N21" s="7" t="n">
        <v>758.33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1300</v>
      </c>
      <c r="D22" s="7" t="n">
        <v>1300</v>
      </c>
      <c r="E22" s="7" t="n">
        <v>1300</v>
      </c>
      <c r="F22" s="7" t="n">
        <v>1300</v>
      </c>
      <c r="G22" s="7" t="n">
        <v>1300</v>
      </c>
      <c r="H22" s="7" t="n">
        <v>1300</v>
      </c>
      <c r="I22" s="7" t="n">
        <v>1300</v>
      </c>
      <c r="J22" s="7" t="n">
        <v>1300</v>
      </c>
      <c r="K22" s="7" t="n">
        <v>1300</v>
      </c>
      <c r="L22" s="7" t="n">
        <v>1300</v>
      </c>
      <c r="M22" s="7" t="n">
        <v>1300</v>
      </c>
      <c r="N22" s="7" t="n">
        <v>1300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2166.67</v>
      </c>
      <c r="D23" s="7" t="n">
        <v>2166.67</v>
      </c>
      <c r="E23" s="7" t="n">
        <v>2166.67</v>
      </c>
      <c r="F23" s="7" t="n">
        <v>2166.67</v>
      </c>
      <c r="G23" s="7" t="n">
        <v>2166.67</v>
      </c>
      <c r="H23" s="7" t="n">
        <v>2166.67</v>
      </c>
      <c r="I23" s="7" t="n">
        <v>2166.67</v>
      </c>
      <c r="J23" s="7" t="n">
        <v>2166.67</v>
      </c>
      <c r="K23" s="7" t="n">
        <v>2166.67</v>
      </c>
      <c r="L23" s="7" t="n">
        <v>2166.67</v>
      </c>
      <c r="M23" s="7" t="n">
        <v>2166.67</v>
      </c>
      <c r="N23" s="7" t="n">
        <v>2166.67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4'!N11</f>
        <v/>
      </c>
    </row>
    <row r="4">
      <c r="B4" s="6" t="inlineStr">
        <is>
          <t>Revenue anual USD [LARGO PLAZO]</t>
        </is>
      </c>
      <c r="C4" s="7" t="n">
        <v>300000</v>
      </c>
    </row>
    <row r="5">
      <c r="B5" s="6" t="inlineStr">
        <is>
          <t>Costos anual USD [LARGO PLAZO]</t>
        </is>
      </c>
      <c r="C5" s="7" t="n">
        <v>150000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5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510</v>
      </c>
      <c r="D11" s="7" t="n">
        <v>510</v>
      </c>
      <c r="E11" s="7" t="n">
        <v>510</v>
      </c>
      <c r="F11" s="7" t="n">
        <v>510</v>
      </c>
      <c r="G11" s="7" t="n">
        <v>510</v>
      </c>
      <c r="H11" s="7" t="n">
        <v>510</v>
      </c>
      <c r="I11" s="7" t="n">
        <v>510</v>
      </c>
      <c r="J11" s="7" t="n">
        <v>510</v>
      </c>
      <c r="K11" s="7" t="n">
        <v>510</v>
      </c>
      <c r="L11" s="7" t="n">
        <v>510</v>
      </c>
      <c r="M11" s="7" t="n">
        <v>510</v>
      </c>
      <c r="N11" s="7" t="n">
        <v>510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25000</v>
      </c>
      <c r="D14" s="7" t="n">
        <v>25000</v>
      </c>
      <c r="E14" s="7" t="n">
        <v>25000</v>
      </c>
      <c r="F14" s="7" t="n">
        <v>25000</v>
      </c>
      <c r="G14" s="7" t="n">
        <v>25000</v>
      </c>
      <c r="H14" s="7" t="n">
        <v>25000</v>
      </c>
      <c r="I14" s="7" t="n">
        <v>25000</v>
      </c>
      <c r="J14" s="7" t="n">
        <v>25000</v>
      </c>
      <c r="K14" s="7" t="n">
        <v>25000</v>
      </c>
      <c r="L14" s="7" t="n">
        <v>25000</v>
      </c>
      <c r="M14" s="7" t="n">
        <v>25000</v>
      </c>
      <c r="N14" s="7" t="n">
        <v>25000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4375</v>
      </c>
      <c r="D18" s="7" t="n">
        <v>4375</v>
      </c>
      <c r="E18" s="7" t="n">
        <v>4375</v>
      </c>
      <c r="F18" s="7" t="n">
        <v>4375</v>
      </c>
      <c r="G18" s="7" t="n">
        <v>4375</v>
      </c>
      <c r="H18" s="7" t="n">
        <v>4375</v>
      </c>
      <c r="I18" s="7" t="n">
        <v>4375</v>
      </c>
      <c r="J18" s="7" t="n">
        <v>4375</v>
      </c>
      <c r="K18" s="7" t="n">
        <v>4375</v>
      </c>
      <c r="L18" s="7" t="n">
        <v>4375</v>
      </c>
      <c r="M18" s="7" t="n">
        <v>4375</v>
      </c>
      <c r="N18" s="7" t="n">
        <v>4375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2250</v>
      </c>
      <c r="D19" s="7" t="n">
        <v>2250</v>
      </c>
      <c r="E19" s="7" t="n">
        <v>2250</v>
      </c>
      <c r="F19" s="7" t="n">
        <v>2250</v>
      </c>
      <c r="G19" s="7" t="n">
        <v>2250</v>
      </c>
      <c r="H19" s="7" t="n">
        <v>2250</v>
      </c>
      <c r="I19" s="7" t="n">
        <v>2250</v>
      </c>
      <c r="J19" s="7" t="n">
        <v>2250</v>
      </c>
      <c r="K19" s="7" t="n">
        <v>2250</v>
      </c>
      <c r="L19" s="7" t="n">
        <v>2250</v>
      </c>
      <c r="M19" s="7" t="n">
        <v>2250</v>
      </c>
      <c r="N19" s="7" t="n">
        <v>2250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1000</v>
      </c>
      <c r="D20" s="7" t="n">
        <v>1000</v>
      </c>
      <c r="E20" s="7" t="n">
        <v>1000</v>
      </c>
      <c r="F20" s="7" t="n">
        <v>1000</v>
      </c>
      <c r="G20" s="7" t="n">
        <v>1000</v>
      </c>
      <c r="H20" s="7" t="n">
        <v>1000</v>
      </c>
      <c r="I20" s="7" t="n">
        <v>1000</v>
      </c>
      <c r="J20" s="7" t="n">
        <v>1000</v>
      </c>
      <c r="K20" s="7" t="n">
        <v>1000</v>
      </c>
      <c r="L20" s="7" t="n">
        <v>1000</v>
      </c>
      <c r="M20" s="7" t="n">
        <v>1000</v>
      </c>
      <c r="N20" s="7" t="n">
        <v>1000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875</v>
      </c>
      <c r="D21" s="7" t="n">
        <v>875</v>
      </c>
      <c r="E21" s="7" t="n">
        <v>875</v>
      </c>
      <c r="F21" s="7" t="n">
        <v>875</v>
      </c>
      <c r="G21" s="7" t="n">
        <v>875</v>
      </c>
      <c r="H21" s="7" t="n">
        <v>875</v>
      </c>
      <c r="I21" s="7" t="n">
        <v>875</v>
      </c>
      <c r="J21" s="7" t="n">
        <v>875</v>
      </c>
      <c r="K21" s="7" t="n">
        <v>875</v>
      </c>
      <c r="L21" s="7" t="n">
        <v>875</v>
      </c>
      <c r="M21" s="7" t="n">
        <v>875</v>
      </c>
      <c r="N21" s="7" t="n">
        <v>875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1500</v>
      </c>
      <c r="D22" s="7" t="n">
        <v>1500</v>
      </c>
      <c r="E22" s="7" t="n">
        <v>1500</v>
      </c>
      <c r="F22" s="7" t="n">
        <v>1500</v>
      </c>
      <c r="G22" s="7" t="n">
        <v>1500</v>
      </c>
      <c r="H22" s="7" t="n">
        <v>1500</v>
      </c>
      <c r="I22" s="7" t="n">
        <v>1500</v>
      </c>
      <c r="J22" s="7" t="n">
        <v>1500</v>
      </c>
      <c r="K22" s="7" t="n">
        <v>1500</v>
      </c>
      <c r="L22" s="7" t="n">
        <v>1500</v>
      </c>
      <c r="M22" s="7" t="n">
        <v>1500</v>
      </c>
      <c r="N22" s="7" t="n">
        <v>1500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2500</v>
      </c>
      <c r="D23" s="7" t="n">
        <v>2500</v>
      </c>
      <c r="E23" s="7" t="n">
        <v>2500</v>
      </c>
      <c r="F23" s="7" t="n">
        <v>2500</v>
      </c>
      <c r="G23" s="7" t="n">
        <v>2500</v>
      </c>
      <c r="H23" s="7" t="n">
        <v>2500</v>
      </c>
      <c r="I23" s="7" t="n">
        <v>2500</v>
      </c>
      <c r="J23" s="7" t="n">
        <v>2500</v>
      </c>
      <c r="K23" s="7" t="n">
        <v>2500</v>
      </c>
      <c r="L23" s="7" t="n">
        <v>2500</v>
      </c>
      <c r="M23" s="7" t="n">
        <v>2500</v>
      </c>
      <c r="N23" s="7" t="n">
        <v>2500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45"/>
  <sheetViews>
    <sheetView workbookViewId="0">
      <selection activeCell="A1" sqref="A1"/>
    </sheetView>
  </sheetViews>
  <sheetFormatPr baseColWidth="8" defaultRowHeight="15"/>
  <cols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6" t="inlineStr">
        <is>
          <t>PREMISAS DEL PROYECTO E INDICADORES — Zonix Pharma</t>
        </is>
      </c>
    </row>
    <row r="4">
      <c r="B4" s="2" t="inlineStr">
        <is>
          <t>ITEMS</t>
        </is>
      </c>
      <c r="C4" s="2" t="inlineStr">
        <is>
          <t>DATOS</t>
        </is>
      </c>
    </row>
    <row r="5">
      <c r="B5" s="6" t="inlineStr">
        <is>
          <t>ARPF placeholder USD/mes</t>
        </is>
      </c>
      <c r="C5" s="7" t="n">
        <v>50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Tasa Descuento</t>
        </is>
      </c>
      <c r="C8" s="9" t="n">
        <v>0.25</v>
      </c>
    </row>
    <row r="9">
      <c r="B9" s="6" t="inlineStr">
        <is>
          <t>Inversión Inicial (wire T+0)</t>
        </is>
      </c>
      <c r="C9" s="7" t="n">
        <v>-111988</v>
      </c>
    </row>
    <row r="10">
      <c r="B10" s="6" t="inlineStr">
        <is>
          <t>SAFE post-money cap Lean</t>
        </is>
      </c>
      <c r="C10" s="7" t="n">
        <v>600000</v>
      </c>
    </row>
    <row r="11">
      <c r="B11" s="6" t="inlineStr">
        <is>
          <t>Nota reparto</t>
        </is>
      </c>
      <c r="C11" s="6" t="inlineStr">
        <is>
          <t>Ilustrativo — no sustituye term sheet SAFE</t>
        </is>
      </c>
    </row>
    <row r="16">
      <c r="B16" s="2" t="inlineStr">
        <is>
          <t>Concepto</t>
        </is>
      </c>
      <c r="C16" s="2" t="n"/>
      <c r="D16" s="2" t="inlineStr">
        <is>
          <t>Año 1</t>
        </is>
      </c>
      <c r="E16" s="2" t="inlineStr">
        <is>
          <t>Año 2</t>
        </is>
      </c>
      <c r="F16" s="2" t="inlineStr">
        <is>
          <t>Año 3</t>
        </is>
      </c>
      <c r="G16" s="2" t="inlineStr">
        <is>
          <t>Año 4</t>
        </is>
      </c>
      <c r="H16" s="2" t="inlineStr">
        <is>
          <t>Año 5</t>
        </is>
      </c>
      <c r="I16" s="2" t="inlineStr">
        <is>
          <t>TOTAL</t>
        </is>
      </c>
    </row>
    <row r="17">
      <c r="B17" s="6" t="inlineStr">
        <is>
          <t>Farmacias activas cierre</t>
        </is>
      </c>
      <c r="D17" s="7">
        <f>'Año 1'!N19</f>
        <v/>
      </c>
      <c r="E17" s="7">
        <f>'Año 2'!N11</f>
        <v/>
      </c>
      <c r="F17" s="7">
        <f>'Año 3'!N11</f>
        <v/>
      </c>
      <c r="G17" s="7">
        <f>'Año 4'!N11</f>
        <v/>
      </c>
      <c r="H17" s="7">
        <f>'Año 5'!N11</f>
        <v/>
      </c>
    </row>
    <row r="18">
      <c r="B18" s="6" t="inlineStr">
        <is>
          <t>Total Ingresos anual</t>
        </is>
      </c>
      <c r="D18" s="7">
        <f>'Año 1'!O25</f>
        <v/>
      </c>
      <c r="E18" s="7">
        <f>'Año 2'!O15</f>
        <v/>
      </c>
      <c r="F18" s="7">
        <f>'Año 3'!O15</f>
        <v/>
      </c>
      <c r="G18" s="7">
        <f>'Año 4'!O15</f>
        <v/>
      </c>
      <c r="H18" s="7">
        <f>'Año 5'!O15</f>
        <v/>
      </c>
      <c r="I18" s="7">
        <f>SUM(D18:H18)</f>
        <v/>
      </c>
    </row>
    <row r="19">
      <c r="B19" s="6" t="inlineStr">
        <is>
          <t>Total Costos anual</t>
        </is>
      </c>
      <c r="D19" s="7">
        <f>'Año 1'!O40</f>
        <v/>
      </c>
      <c r="E19" s="7">
        <f>'Año 2'!O24</f>
        <v/>
      </c>
      <c r="F19" s="7">
        <f>'Año 3'!O24</f>
        <v/>
      </c>
      <c r="G19" s="7">
        <f>'Año 4'!O24</f>
        <v/>
      </c>
      <c r="H19" s="7">
        <f>'Año 5'!O24</f>
        <v/>
      </c>
      <c r="I19" s="7">
        <f>SUM(D19:H19)</f>
        <v/>
      </c>
    </row>
    <row r="20">
      <c r="B20" s="30" t="inlineStr">
        <is>
          <t>FCF anual</t>
        </is>
      </c>
      <c r="C20" s="31" t="n"/>
      <c r="D20" s="31">
        <f>D18-D19</f>
        <v/>
      </c>
      <c r="E20" s="31">
        <f>E18-E19</f>
        <v/>
      </c>
      <c r="F20" s="31">
        <f>F18-F19</f>
        <v/>
      </c>
      <c r="G20" s="31">
        <f>G18-G19</f>
        <v/>
      </c>
      <c r="H20" s="31">
        <f>H18-H19</f>
        <v/>
      </c>
      <c r="I20" s="31">
        <f>SUM(D20:H20)</f>
        <v/>
      </c>
      <c r="J20" s="31" t="n"/>
      <c r="K20" s="31" t="n"/>
      <c r="L20" s="31" t="n"/>
      <c r="M20" s="31" t="n"/>
      <c r="N20" s="31" t="n"/>
      <c r="O20" s="31" t="n"/>
    </row>
    <row r="21">
      <c r="B21" s="6" t="inlineStr">
        <is>
          <t>FCF acumulado</t>
        </is>
      </c>
      <c r="D21" s="7">
        <f>D20</f>
        <v/>
      </c>
      <c r="E21" s="7">
        <f>D21+E20</f>
        <v/>
      </c>
      <c r="F21" s="7">
        <f>E21+F20</f>
        <v/>
      </c>
      <c r="G21" s="7">
        <f>F21+G20</f>
        <v/>
      </c>
      <c r="H21" s="7">
        <f>G21+H20</f>
        <v/>
      </c>
    </row>
    <row r="22">
      <c r="B22" s="6" t="inlineStr">
        <is>
          <t>CCF (inversor SAFE)</t>
        </is>
      </c>
      <c r="D22" s="7">
        <f>D20*$C$6</f>
        <v/>
      </c>
      <c r="E22" s="7">
        <f>E20*$C$6</f>
        <v/>
      </c>
      <c r="F22" s="7">
        <f>F20*$C$6</f>
        <v/>
      </c>
      <c r="G22" s="7">
        <f>G20*$C$6</f>
        <v/>
      </c>
      <c r="H22" s="7">
        <f>H20*$C$6</f>
        <v/>
      </c>
      <c r="K22" s="6" t="inlineStr">
        <is>
          <t>CCF acum Y5</t>
        </is>
      </c>
      <c r="L22" s="6" t="inlineStr">
        <is>
          <t>Por recuperar Y5</t>
        </is>
      </c>
    </row>
    <row r="23">
      <c r="B23" s="6" t="inlineStr">
        <is>
          <t>CCF acumulado (inversor)</t>
        </is>
      </c>
      <c r="D23" s="7">
        <f>D22</f>
        <v/>
      </c>
      <c r="E23" s="7">
        <f>D23+E22</f>
        <v/>
      </c>
      <c r="F23" s="7">
        <f>E23+F22</f>
        <v/>
      </c>
      <c r="G23" s="7">
        <f>F23+G22</f>
        <v/>
      </c>
      <c r="H23" s="7">
        <f>G23+H22</f>
        <v/>
      </c>
      <c r="K23" s="7">
        <f>H23</f>
        <v/>
      </c>
    </row>
    <row r="24">
      <c r="B24" s="6" t="inlineStr">
        <is>
          <t>Por recuperar inversor (SAFE)</t>
        </is>
      </c>
      <c r="D24" s="7">
        <f>MAX(0,-$C$9-D23)</f>
        <v/>
      </c>
      <c r="E24" s="7">
        <f>MAX(0,-$C$9-E23)</f>
        <v/>
      </c>
      <c r="F24" s="7">
        <f>MAX(0,-$C$9-F23)</f>
        <v/>
      </c>
      <c r="G24" s="7">
        <f>MAX(0,-$C$9-G23)</f>
        <v/>
      </c>
      <c r="H24" s="7">
        <f>MAX(0,-$C$9-H23)</f>
        <v/>
      </c>
      <c r="L24" s="7">
        <f>H24</f>
        <v/>
      </c>
    </row>
    <row r="25">
      <c r="B25" s="6" t="inlineStr">
        <is>
          <t>ECF (founders)</t>
        </is>
      </c>
      <c r="D25" s="7">
        <f>D20-D22</f>
        <v/>
      </c>
      <c r="E25" s="7">
        <f>E20-E22</f>
        <v/>
      </c>
      <c r="F25" s="7">
        <f>F20-F22</f>
        <v/>
      </c>
      <c r="G25" s="7">
        <f>G20-G22</f>
        <v/>
      </c>
      <c r="H25" s="7">
        <f>H20-H22</f>
        <v/>
      </c>
    </row>
    <row r="27">
      <c r="J27" s="6" t="inlineStr">
        <is>
          <t>Flujo IRR</t>
        </is>
      </c>
    </row>
    <row r="28">
      <c r="J28" s="7" t="n">
        <v>-111988</v>
      </c>
    </row>
    <row r="29">
      <c r="J29" s="7">
        <f>D20</f>
        <v/>
      </c>
    </row>
    <row r="30">
      <c r="J30" s="7">
        <f>E20</f>
        <v/>
      </c>
    </row>
    <row r="31">
      <c r="J31" s="7">
        <f>F20</f>
        <v/>
      </c>
    </row>
    <row r="32">
      <c r="J32" s="7">
        <f>G20</f>
        <v/>
      </c>
    </row>
    <row r="33">
      <c r="J33" s="7">
        <f>H20</f>
        <v/>
      </c>
    </row>
    <row r="34">
      <c r="B34" s="6" t="inlineStr">
        <is>
          <t>VP Flujos(5)</t>
        </is>
      </c>
      <c r="C34" s="7">
        <f>NPV($C$8,D20:H20)</f>
        <v/>
      </c>
    </row>
    <row r="35">
      <c r="B35" s="6" t="inlineStr">
        <is>
          <t>VAN(5)</t>
        </is>
      </c>
      <c r="C35" s="7">
        <f>C34+C9</f>
        <v/>
      </c>
    </row>
    <row r="36">
      <c r="B36" s="6" t="inlineStr">
        <is>
          <t>VP Flujos(3)</t>
        </is>
      </c>
      <c r="C36" s="7">
        <f>NPV($C$8,D20:F20)</f>
        <v/>
      </c>
    </row>
    <row r="37">
      <c r="B37" s="6" t="inlineStr">
        <is>
          <t>VAN(3)</t>
        </is>
      </c>
      <c r="C37" s="7">
        <f>C36+C9</f>
        <v/>
      </c>
    </row>
    <row r="38">
      <c r="B38" s="6" t="inlineStr">
        <is>
          <t>TIR(5)</t>
        </is>
      </c>
      <c r="C38" s="9">
        <f>IRR(J28:J33)</f>
        <v/>
      </c>
    </row>
    <row r="39">
      <c r="B39" s="6" t="inlineStr">
        <is>
          <t>TIR(3)</t>
        </is>
      </c>
      <c r="C39" s="9">
        <f>IRR(J28:J31)</f>
        <v/>
      </c>
    </row>
    <row r="40">
      <c r="B40" s="6" t="inlineStr">
        <is>
          <t>Tasa Requerida (r)</t>
        </is>
      </c>
      <c r="C40" s="9">
        <f>$C$8</f>
        <v/>
      </c>
    </row>
    <row r="41">
      <c r="B41" s="6" t="inlineStr">
        <is>
          <t>Payback inversor (años, ilustrativo)</t>
        </is>
      </c>
      <c r="C41" s="7">
        <f>IF(H23&gt;=ABS($C$9),5,IF(G23&gt;=ABS($C$9),4,IF(F23&gt;=ABS($C$9),3,IF(E23&gt;=ABS($C$9),2,IF(D23&gt;=ABS($C$9),1,"[LARGO PLAZO]")))))</f>
        <v/>
      </c>
    </row>
    <row r="42">
      <c r="B42" s="6" t="inlineStr">
        <is>
          <t>% SAFE recuperado (CCF acum Y5, ilustrativo)</t>
        </is>
      </c>
      <c r="C42" s="9">
        <f>H23/ABS($C$9)</f>
        <v/>
      </c>
    </row>
    <row r="43">
      <c r="B43" s="6" t="inlineStr">
        <is>
          <t>Lectura payback</t>
        </is>
      </c>
      <c r="C43" s="7">
        <f>IF(C41="[LARGO PLAZO]","CCF acum Y5 no cubre SAFE — ver % recuperado","")</f>
        <v/>
      </c>
    </row>
    <row r="45">
      <c r="B45" s="6" t="inlineStr">
        <is>
          <t>NOTA: Reparto CCF/ECF ilustrativo post-cap SAFE 18,66%. No cláusula de dividendos.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11"/>
  <sheetViews>
    <sheetView workbookViewId="0">
      <selection activeCell="A1" sqref="A1"/>
    </sheetView>
  </sheetViews>
  <sheetFormatPr baseColWidth="8" defaultRowHeight="15"/>
  <sheetData>
    <row r="2">
      <c r="B2" s="3" t="inlineStr">
        <is>
          <t>TASAS DE CRECIMIENTO — Zonix Pharma</t>
        </is>
      </c>
    </row>
    <row r="4">
      <c r="C4" s="2" t="inlineStr">
        <is>
          <t>Año 1</t>
        </is>
      </c>
      <c r="D4" s="2" t="inlineStr">
        <is>
          <t>Año 2</t>
        </is>
      </c>
      <c r="E4" s="2" t="inlineStr">
        <is>
          <t>Año 3</t>
        </is>
      </c>
      <c r="F4" s="2" t="inlineStr">
        <is>
          <t>Año 4</t>
        </is>
      </c>
      <c r="G4" s="2" t="inlineStr">
        <is>
          <t>Año 5</t>
        </is>
      </c>
    </row>
    <row r="6">
      <c r="B6" s="6" t="inlineStr">
        <is>
          <t>Revenue anual % vs año anterior</t>
        </is>
      </c>
      <c r="D6" s="9">
        <f>IF(C8=0,"",(D8-C8)/C8)</f>
        <v/>
      </c>
      <c r="E6" s="9">
        <f>IF(D8=0,"",(E8-D8)/D8)</f>
        <v/>
      </c>
      <c r="F6" s="9">
        <f>IF(E8=0,"",(F8-E8)/E8)</f>
        <v/>
      </c>
      <c r="G6" s="9">
        <f>IF(F8=0,"",(G8-F8)/F8)</f>
        <v/>
      </c>
    </row>
    <row r="7">
      <c r="B7" s="6" t="inlineStr">
        <is>
          <t>Farmacias activas cierre</t>
        </is>
      </c>
      <c r="C7" s="7">
        <f>'Año 1'!N19</f>
        <v/>
      </c>
      <c r="D7" s="7">
        <f>'Año 2'!N11</f>
        <v/>
      </c>
      <c r="E7" s="7">
        <f>'Año 3'!N11</f>
        <v/>
      </c>
      <c r="F7" s="7">
        <f>'Año 4'!N11</f>
        <v/>
      </c>
      <c r="G7" s="7">
        <f>'Año 5'!N11</f>
        <v/>
      </c>
    </row>
    <row r="8">
      <c r="B8" s="6" t="inlineStr">
        <is>
          <t>Revenue anual USD</t>
        </is>
      </c>
      <c r="C8" s="7">
        <f>'Año 1'!O25</f>
        <v/>
      </c>
      <c r="D8" s="7">
        <f>'Año 2'!O15</f>
        <v/>
      </c>
      <c r="E8" s="7">
        <f>'Año 3'!O15</f>
        <v/>
      </c>
      <c r="F8" s="7">
        <f>'Año 4'!O15</f>
        <v/>
      </c>
      <c r="G8" s="7">
        <f>'Año 5'!O15</f>
        <v/>
      </c>
    </row>
    <row r="9">
      <c r="B9" s="6" t="inlineStr">
        <is>
          <t>ARPF placeholder USD</t>
        </is>
      </c>
      <c r="C9" s="7" t="n">
        <v>50</v>
      </c>
      <c r="D9" s="7" t="n">
        <v>52</v>
      </c>
      <c r="E9" s="7" t="n">
        <v>55</v>
      </c>
      <c r="F9" s="7" t="n">
        <v>58</v>
      </c>
      <c r="G9" s="7" t="n">
        <v>60</v>
      </c>
    </row>
    <row r="10">
      <c r="B10" s="6" t="inlineStr">
        <is>
          <t>Burn prom. mensual USD</t>
        </is>
      </c>
      <c r="C10" s="7">
        <f>'Año 1'!O40/12</f>
        <v/>
      </c>
      <c r="D10" s="7">
        <f>'Año 2'!O24/12</f>
        <v/>
      </c>
      <c r="E10" s="7">
        <f>'Año 3'!O24/12</f>
        <v/>
      </c>
      <c r="F10" s="7">
        <f>'Año 4'!O24/12</f>
        <v/>
      </c>
      <c r="G10" s="7">
        <f>'Año 5'!O24/12</f>
        <v/>
      </c>
    </row>
    <row r="11">
      <c r="B11" s="6" t="inlineStr">
        <is>
          <t>Etiqueta</t>
        </is>
      </c>
      <c r="C11" s="6" t="inlineStr">
        <is>
          <t>ancla</t>
        </is>
      </c>
      <c r="D11" s="6" t="inlineStr">
        <is>
          <t>PROY §2</t>
        </is>
      </c>
      <c r="E11" s="6" t="inlineStr">
        <is>
          <t>PROY §3</t>
        </is>
      </c>
      <c r="F11" s="6" t="inlineStr">
        <is>
          <t>SUPUESTO</t>
        </is>
      </c>
      <c r="G11" s="6" t="inlineStr">
        <is>
          <t>SUPUESTO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2026-06-23T14:34:29Z</dcterms:created>
  <dcterms:modified xsi:type="dcterms:W3CDTF">2026-06-23T14:34:29Z</dcterms:modified>
</cp:coreProperties>
</file>