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Detallado de la inversión." sheetId="1" state="visible" r:id="rId3"/>
    <sheet name="Hoja3" sheetId="2" state="visible" r:id="rId4"/>
    <sheet name="Hoja1" sheetId="3" state="visible" r:id="rId5"/>
    <sheet name="Hoja2" sheetId="4" state="visible" r:id="rId6"/>
    <sheet name="ESTA SI VALE" sheetId="5" state="visible" r:id="rId7"/>
    <sheet name="Año 1" sheetId="6" state="visible" r:id="rId8"/>
    <sheet name="Año 2" sheetId="7" state="visible" r:id="rId9"/>
    <sheet name="Año 3" sheetId="8" state="visible" r:id="rId10"/>
    <sheet name="Año 4" sheetId="9" state="visible" r:id="rId11"/>
    <sheet name="Año 5" sheetId="10" state="visible" r:id="rId12"/>
    <sheet name="Flujo Total" sheetId="11" state="visible" r:id="rId13"/>
    <sheet name="Tasa Crecimiento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<sst xmlns="http://schemas.openxmlformats.org/spreadsheetml/2006/main" count="630" uniqueCount="372">
  <si>
    <t xml:space="preserve">Zonix Pharma — Marketplace farmacéutico VE (piloto Valencia) </t>
  </si>
  <si>
    <t xml:space="preserve">Descripción</t>
  </si>
  <si>
    <t xml:space="preserve">Cant.</t>
  </si>
  <si>
    <t xml:space="preserve">CONSTITUCIÓN DE LA EMPRESA (Zonix Pharma C.A.)</t>
  </si>
  <si>
    <t xml:space="preserve">USD/u</t>
  </si>
  <si>
    <t xml:space="preserve">RESUMEN INVERSIÓN LEAN (v3.9.1)</t>
  </si>
  <si>
    <t xml:space="preserve">Registro Mercantil + acta constitutiva</t>
  </si>
  <si>
    <t xml:space="preserve">One-shots (legal+intro+HQ)</t>
  </si>
  <si>
    <t xml:space="preserve">SENIAT — inscripción / trámites RIF</t>
  </si>
  <si>
    <t xml:space="preserve">Fase 0 operativa (sin one-shots)</t>
  </si>
  <si>
    <t xml:space="preserve">Licencia / permisos municipales HQ</t>
  </si>
  <si>
    <t xml:space="preserve">Notas / En ESTA</t>
  </si>
  <si>
    <t xml:space="preserve">Fase 0 total (T+0→Day-D)</t>
  </si>
  <si>
    <t xml:space="preserve">Permiso bomberos (local operativo)</t>
  </si>
  <si>
    <t xml:space="preserve">Caja al Day-D (inicio M1)</t>
  </si>
  <si>
    <t xml:space="preserve">Apertura cuenta bancaria empresa</t>
  </si>
  <si>
    <t xml:space="preserve">Burn 12 meses (M1–M12)</t>
  </si>
  <si>
    <t xml:space="preserve">Sello digital + factura digital SENIAT</t>
  </si>
  <si>
    <t xml:space="preserve">Reserva caja</t>
  </si>
  <si>
    <t xml:space="preserve">Registro marca SAPI (paralelo)</t>
  </si>
  <si>
    <t xml:space="preserve">TOTAL capital SAFE</t>
  </si>
  <si>
    <t xml:space="preserve">Subtotal constitución empresa</t>
  </si>
  <si>
    <t xml:space="preserve">SAFE cap ref. → ~18.66% equity</t>
  </si>
  <si>
    <t xml:space="preserve">Costos legales de constitución C.A. + local HQ (referencia real VE). No incluye permisos de farmacia aliada ni operación de medicamentos. Pack documental conservador 1.150–1.450 en ESTRUCTURA_LEGAL §1.4 — validar con abogado [PENDIENTE].</t>
  </si>
  <si>
    <t xml:space="preserve">Ref. mensual post-Day-D</t>
  </si>
  <si>
    <t xml:space="preserve">MO operativa (subtotal)</t>
  </si>
  <si>
    <t xml:space="preserve">MATERIA PRIMA: No aplica — ZonixPharma es servicio tecnológico (marketplace). Equivalente digital: SMS OTP, Pusher, Maps, hosting → fila «Hosting + SaaS + Firebase OTP» en ESTA SI VALE (~154 USD/mes) + contingencia en burn.</t>
  </si>
  <si>
    <t xml:space="preserve">Marketing mensual (subtotal)</t>
  </si>
  <si>
    <t xml:space="preserve">Incluido en burn M1–M12. No sumar a one-shots ni duplicar MO Fase 0. Unit economics → pestaña ESTA SI VALE.</t>
  </si>
  <si>
    <t xml:space="preserve">INTRODUCCIÓN AL MERCADO / DEMO — Lean (ancla Fase 0)</t>
  </si>
  <si>
    <t xml:space="preserve">Website landing + dominio</t>
  </si>
  <si>
    <t xml:space="preserve">Brochures y material impreso B2B</t>
  </si>
  <si>
    <t xml:space="preserve">Tablets demo farmacia</t>
  </si>
  <si>
    <t xml:space="preserve">Visitas comerciales pre-Day-D</t>
  </si>
  <si>
    <t xml:space="preserve">Reservas operativas primer mes</t>
  </si>
  <si>
    <t xml:space="preserve">Video pitch B2B farmacia (one-shot)</t>
  </si>
  <si>
    <t xml:space="preserve">Subtotal intro mercado Lean</t>
  </si>
  <si>
    <t xml:space="preserve">MARKETING PRE-LANZAMIENTO — Lean (3 meses, ancla)</t>
  </si>
  <si>
    <t xml:space="preserve">Meta Ads pre-Day-D</t>
  </si>
  <si>
    <t xml:space="preserve">Material POP / señalética</t>
  </si>
  <si>
    <t xml:space="preserve">Demos B2B adicionales</t>
  </si>
  <si>
    <t xml:space="preserve">Subtotal marketing pre-lanzamiento Lean</t>
  </si>
  <si>
    <t xml:space="preserve">MANO DE OBRA FASE 0 (3 meses — incluida en Fase 0, no duplicar en one-shots)</t>
  </si>
  <si>
    <t xml:space="preserve">4× Sales bootstrap (350 c/u) — sueldos bajo AVGH; validar contratos [PENDIENTE]. Tarifas mensuales × 3 meses pre-Day-D. Comisiones Sales: $40/firma (estimado en ESTA, no duplicado aquí).</t>
  </si>
  <si>
    <t xml:space="preserve">Founder CEO/CTO (1000/mes)</t>
  </si>
  <si>
    <t xml:space="preserve">Co-CEO Head Sales&amp;Ops (1000/mes)</t>
  </si>
  <si>
    <t xml:space="preserve">Dev junior (Flutter/Laravel) (600/mes)</t>
  </si>
  <si>
    <t xml:space="preserve">4× Sales B2B (350/mes c/u base)</t>
  </si>
  <si>
    <t xml:space="preserve">CS + Community Manager (400/mes)</t>
  </si>
  <si>
    <t xml:space="preserve">Herramientas IA (425/mes)</t>
  </si>
  <si>
    <t xml:space="preserve">Contador + Abogado (330/mes)</t>
  </si>
  <si>
    <t xml:space="preserve">Subtotal mano de obra Fase 0 (3 meses)</t>
  </si>
  <si>
    <t xml:space="preserve">TRANSPORTE Y MOVILIDAD B2B (referencia desglose)</t>
  </si>
  <si>
    <t xml:space="preserve">Ancla Lean: ~500 USD en «Visitas comerciales» (intro) + ~280/mes en burn «Material + transporte + contingencia». Bloque explicativo — no suma ancla.</t>
  </si>
  <si>
    <t xml:space="preserve">Visitas comerciales Valencia (combustible / terceros)</t>
  </si>
  <si>
    <t xml:space="preserve">Logística material demo (tablets, POP)</t>
  </si>
  <si>
    <t xml:space="preserve">Gira medios / eventos farmacia (opcional Lean)</t>
  </si>
  <si>
    <t xml:space="preserve">Subtotal transporte referencia Fase 0</t>
  </si>
  <si>
    <t xml:space="preserve">HQ Y CAPEX — Lean (ancla one-shots)</t>
  </si>
  <si>
    <t xml:space="preserve">Depósito + amueblado HQ casa</t>
  </si>
  <si>
    <t xml:space="preserve">Adecuación HQ (pintura, señalética)</t>
  </si>
  <si>
    <t xml:space="preserve">PC recepción / ventas</t>
  </si>
  <si>
    <t xml:space="preserve">PC administración</t>
  </si>
  <si>
    <t xml:space="preserve">PC desarrollo</t>
  </si>
  <si>
    <t xml:space="preserve">PC puesto flexible</t>
  </si>
  <si>
    <t xml:space="preserve">Subtotal HQ y CapEx</t>
  </si>
  <si>
    <t xml:space="preserve">FASE 0 — OUTFLOW OPERATIVO (T+0→Day-D, bottom-up)</t>
  </si>
  <si>
    <t xml:space="preserve">Sub-fase 0a (T+0 a T+30)</t>
  </si>
  <si>
    <t xml:space="preserve">Sub-fase 0b (T+30 a T+60)</t>
  </si>
  <si>
    <t xml:space="preserve">Sub-fase 0c (T+60 a T+90)</t>
  </si>
  <si>
    <t xml:space="preserve">Subtotal Fase 0</t>
  </si>
  <si>
    <t xml:space="preserve">Caja al Day-D (111.988 − Fase 0)</t>
  </si>
  <si>
    <t xml:space="preserve">TOTAL one-shots Lean (legal+intro+HQ)</t>
  </si>
  <si>
    <t xml:space="preserve">Validación: Fase 0 − one-shots − mkt pre (ops burn ~15.999)</t>
  </si>
  <si>
    <t xml:space="preserve">≈ delta vs subtotal MO + HQ/servicios en Fase 0</t>
  </si>
  <si>
    <t xml:space="preserve">MANO DE OBRA OPERATIVA (post-Day-D — USD/mes, incluida en burn M1–M12)</t>
  </si>
  <si>
    <t xml:space="preserve">Espejo nómina recurrente ESTA SI VALE. No sumar a one-shots ni a Fase 0.</t>
  </si>
  <si>
    <t xml:space="preserve">Founder CEO/CTO</t>
  </si>
  <si>
    <t xml:space="preserve">mensual</t>
  </si>
  <si>
    <t xml:space="preserve">→ burn Año 1</t>
  </si>
  <si>
    <t xml:space="preserve">Co-CEO Head Sales&amp;Ops</t>
  </si>
  <si>
    <t xml:space="preserve">Dev junior</t>
  </si>
  <si>
    <t xml:space="preserve">4× Sales B2B (base c/u)</t>
  </si>
  <si>
    <t xml:space="preserve">CS + Community Manager</t>
  </si>
  <si>
    <t xml:space="preserve">Herramientas IA</t>
  </si>
  <si>
    <t xml:space="preserve">Contador + Abogado</t>
  </si>
  <si>
    <t xml:space="preserve">Subtotal MO operativa (fija/mes)</t>
  </si>
  <si>
    <t xml:space="preserve">MARKETING Y OPEX MENSUAL RECURRENTE (ref. ESTA → Año 1)</t>
  </si>
  <si>
    <t xml:space="preserve">Incluido en burn M1–M12. No sumar a one-shots ni duplicar MO Fase 0.</t>
  </si>
  <si>
    <t xml:space="preserve">HQ casa (arriendo + servicios)</t>
  </si>
  <si>
    <t xml:space="preserve">Alquiler HQ post-Day-D — incluido en burn M1–M12</t>
  </si>
  <si>
    <t xml:space="preserve">Servicios oficina</t>
  </si>
  <si>
    <t xml:space="preserve">→ ESTA: §2.3.1</t>
  </si>
  <si>
    <t xml:space="preserve">Hosting + SaaS + Firebase OTP</t>
  </si>
  <si>
    <t xml:space="preserve">SaaS ~120 + SMS ~34 (§2.3.1)</t>
  </si>
  <si>
    <t xml:space="preserve">  └ Hosting cloud / SaaS (desglose)</t>
  </si>
  <si>
    <t xml:space="preserve">~120 USD/mes — footnote, no sumar</t>
  </si>
  <si>
    <t xml:space="preserve">  └ Firebase SMS / OTP (pico conservador)</t>
  </si>
  <si>
    <t xml:space="preserve">~34 USD/mes — footnote, no sumar</t>
  </si>
  <si>
    <t xml:space="preserve">Meta Ads (prom.)</t>
  </si>
  <si>
    <t xml:space="preserve">→ ESTA: tramos</t>
  </si>
  <si>
    <t xml:space="preserve">Valla pequeña (desde M3)</t>
  </si>
  <si>
    <t xml:space="preserve">→ ESTA / Año 1</t>
  </si>
  <si>
    <t xml:space="preserve">Material + transporte + contingencia (incl. buffer VE 20%)</t>
  </si>
  <si>
    <t xml:space="preserve">→ ESTA: PRESUPUESTO §6</t>
  </si>
  <si>
    <t xml:space="preserve">Subtotal marketing + opex variable/mes</t>
  </si>
  <si>
    <t xml:space="preserve">Sales comisiones (estim. prom/mes — $40/firma)</t>
  </si>
  <si>
    <t xml:space="preserve">Variable — no incluido en burn fijo Lean</t>
  </si>
  <si>
    <t xml:space="preserve">USE OF FUNDS 12M (post Day-D) — bottom-up</t>
  </si>
  <si>
    <t xml:space="preserve">Burn M1-M12</t>
  </si>
  <si>
    <t xml:space="preserve">Reserva caja Lean</t>
  </si>
  <si>
    <t xml:space="preserve">TOTAL capital SAFE Lean</t>
  </si>
  <si>
    <t xml:space="preserve">Zonix Pharma — Resumen inversión (v3.9.1)</t>
  </si>
  <si>
    <t xml:space="preserve">A — Use of funds (TOTAL SAFE Lean)</t>
  </si>
  <si>
    <t xml:space="preserve">TIMELINE + RESUMEN FASE 0 (v3.9.1)</t>
  </si>
  <si>
    <t xml:space="preserve">Bloque</t>
  </si>
  <si>
    <t xml:space="preserve">USD</t>
  </si>
  <si>
    <t xml:space="preserve">% del total</t>
  </si>
  <si>
    <t xml:space="preserve">One-shots (legal + intro + HQ)</t>
  </si>
  <si>
    <t xml:space="preserve">Sub-fase 0a (T+0→T+30)</t>
  </si>
  <si>
    <t xml:space="preserve">Sub-fase 0b (T+30→T+60)</t>
  </si>
  <si>
    <t xml:space="preserve">TOTAL SAFE Lean</t>
  </si>
  <si>
    <t xml:space="preserve">Sub-fase 0c (T+60→T+90)</t>
  </si>
  <si>
    <t xml:space="preserve">Marketing pre-lanzamiento (~2.250 USD) incluido en Fase 0 — ver Sección B. Unit economics → pestaña ESTA SI VALE.</t>
  </si>
  <si>
    <t xml:space="preserve">B — Desglose operativo Fase 0 (enlace Detallado)</t>
  </si>
  <si>
    <t xml:space="preserve">Informativo — no sumar bloques al TOTAL SAFE (Sección A). Subtotal Fase 0 = modelo timing 0a–0c, no suma de columnas visibles.</t>
  </si>
  <si>
    <t xml:space="preserve">Total USD</t>
  </si>
  <si>
    <t xml:space="preserve">Constitución empresa (sin BPF/CPE farmacia)</t>
  </si>
  <si>
    <t xml:space="preserve">Introducción al mercado / demo</t>
  </si>
  <si>
    <t xml:space="preserve">Marketing pre-lanzamiento (3 meses)</t>
  </si>
  <si>
    <t xml:space="preserve">Mano de obra Fase 0 (3 meses)</t>
  </si>
  <si>
    <t xml:space="preserve">Transporte B2B (referencia — no suma ancla)</t>
  </si>
  <si>
    <t xml:space="preserve">HQ y CapEx</t>
  </si>
  <si>
    <t xml:space="preserve">Materia prima: No aplica — marketplace SaaS (~154 USD/mes hosting/SMS en ESTA SI VALE).</t>
  </si>
  <si>
    <t xml:space="preserve">Validación: Fase 0 − one-shots − mkt pre (ops burn)</t>
  </si>
  <si>
    <t xml:space="preserve">Subtotal Fase 0 (T+0→Day-D)</t>
  </si>
  <si>
    <t xml:space="preserve">Zonix Pharma — inversión Fase 0 (espejo Detallado v3.9.1)</t>
  </si>
  <si>
    <t xml:space="preserve">RESUMEN CAPEX (v3.9.1)</t>
  </si>
  <si>
    <t xml:space="preserve">Refs informativas — HQ ya en one-shots; no sumar CapEx + TOTAL SAFE.</t>
  </si>
  <si>
    <t xml:space="preserve">Datos ZonixPharma — enlaces a Detallado. One-shots en Hoja3 Sección A. No sumar bloques al TOTAL SAFE. Marketplace SaaS (sin rubros producción física).</t>
  </si>
  <si>
    <t xml:space="preserve">Inversión CapEx HQ</t>
  </si>
  <si>
    <t xml:space="preserve">% CapEx / TOTAL SAFE Lean</t>
  </si>
  <si>
    <t xml:space="preserve">% SAFE</t>
  </si>
  <si>
    <t xml:space="preserve">TOTAL SAFE Lean (ref.)</t>
  </si>
  <si>
    <t xml:space="preserve">equipos</t>
  </si>
  <si>
    <t xml:space="preserve">Burn mensual ref. (MO+mkt)</t>
  </si>
  <si>
    <t xml:space="preserve">Reserva caja (ref.)</t>
  </si>
  <si>
    <t xml:space="preserve">% equity SAFE (ref.)</t>
  </si>
  <si>
    <t xml:space="preserve">Use of funds → Hoja3 Sección A</t>
  </si>
  <si>
    <t xml:space="preserve">Subtotal equipos (4 PCs)</t>
  </si>
  <si>
    <t xml:space="preserve">adecuacion</t>
  </si>
  <si>
    <t xml:space="preserve">Subtotal adecuación HQ</t>
  </si>
  <si>
    <t xml:space="preserve">mano de obra</t>
  </si>
  <si>
    <t xml:space="preserve">transporte</t>
  </si>
  <si>
    <t xml:space="preserve">alquiler</t>
  </si>
  <si>
    <t xml:space="preserve">Depósito HQ (one-shot) incluido en bloque adecuación. Arriendo mensual post-Day-D — ref. burn Detallado.</t>
  </si>
  <si>
    <t xml:space="preserve">constitucion empresa y permisos</t>
  </si>
  <si>
    <t xml:space="preserve">marketing — intro mercado / demo</t>
  </si>
  <si>
    <t xml:space="preserve">marketing — pre-lanzamiento (3 meses)</t>
  </si>
  <si>
    <t xml:space="preserve">materia (SaaS / hosting / SMS — marketplace)</t>
  </si>
  <si>
    <t xml:space="preserve">Equivalente digital marketplace (hosting/SMS). Desglose Detallado + unit economics → ESTA SI VALE (~154 USD/mes).</t>
  </si>
  <si>
    <t xml:space="preserve">Meta Ads M1-6 (USD)</t>
  </si>
  <si>
    <t xml:space="preserve">Meta Ads M7-12 (USD)</t>
  </si>
  <si>
    <t xml:space="preserve">Valla pequeña desde M3 (USD)</t>
  </si>
  <si>
    <t xml:space="preserve">Datos ZonixPharma — espejo Detallado/Hoja1. Bloques ESTA = vista due diligence. TOTAL SAFE oficial → Hoja3 §A. No sumar bloques al SAFE.</t>
  </si>
  <si>
    <t xml:space="preserve">Zonix Pharma — ESTA SI VALE (espejo Pizza v3.9.1)</t>
  </si>
  <si>
    <t xml:space="preserve">Zonix Pharma — Unit economics y escenarios</t>
  </si>
  <si>
    <t xml:space="preserve">gastos fijos mensuales (ref. burn/activas — no sumar SAFE)</t>
  </si>
  <si>
    <t xml:space="preserve">Año 2 ref.</t>
  </si>
  <si>
    <t xml:space="preserve">Concepto</t>
  </si>
  <si>
    <t xml:space="preserve">Valor</t>
  </si>
  <si>
    <t xml:space="preserve">Fuente</t>
  </si>
  <si>
    <t xml:space="preserve">Factor Año 2 MO (+40%)</t>
  </si>
  <si>
    <t xml:space="preserve">ARPF placeholder (USD/mes)</t>
  </si>
  <si>
    <t xml:space="preserve">UNIT_ECONOMICS</t>
  </si>
  <si>
    <t xml:space="preserve">Mano de obra (Fase 0 — 3 meses)</t>
  </si>
  <si>
    <t xml:space="preserve">CAC farmacia (USD)</t>
  </si>
  <si>
    <t xml:space="preserve">Churn mensual target</t>
  </si>
  <si>
    <t xml:space="preserve">Escenario margen 50%-30%</t>
  </si>
  <si>
    <t xml:space="preserve">LTV (USD)</t>
  </si>
  <si>
    <t xml:space="preserve">Mes 1</t>
  </si>
  <si>
    <t xml:space="preserve">LTV / CAC</t>
  </si>
  <si>
    <t xml:space="preserve">Mes 2</t>
  </si>
  <si>
    <t xml:space="preserve">Payback CAC (meses)</t>
  </si>
  <si>
    <t xml:space="preserve">Mes 3</t>
  </si>
  <si>
    <t xml:space="preserve">Margen bruto plataforma</t>
  </si>
  <si>
    <t xml:space="preserve">TOTAL ref.</t>
  </si>
  <si>
    <t xml:space="preserve">Cuota Basic (USD/mes)</t>
  </si>
  <si>
    <t xml:space="preserve">Escenario margen 60%-40%</t>
  </si>
  <si>
    <t xml:space="preserve">PROPUESTA B2B §5</t>
  </si>
  <si>
    <t xml:space="preserve">Cuota Pro (USD/mes)</t>
  </si>
  <si>
    <t xml:space="preserve">Cuota Enterprise (USD/mes)</t>
  </si>
  <si>
    <t xml:space="preserve">Mix Basic / Pro / Enterprise</t>
  </si>
  <si>
    <t xml:space="preserve">60/30/10</t>
  </si>
  <si>
    <t xml:space="preserve">PROYECCION §1.2</t>
  </si>
  <si>
    <t xml:space="preserve">Factor Año 2 transporte (+30%)</t>
  </si>
  <si>
    <t xml:space="preserve">Farmacias activas equilibrio Lean (M12 v3.3)</t>
  </si>
  <si>
    <t xml:space="preserve">PROYECCION — 4× Sales</t>
  </si>
  <si>
    <t xml:space="preserve">Transporte local (B2B / demo)</t>
  </si>
  <si>
    <t xml:space="preserve">Escenario margen 70%-50%</t>
  </si>
  <si>
    <t xml:space="preserve">ESCENARIOS CAPITAL (tiers)</t>
  </si>
  <si>
    <t xml:space="preserve">Tier</t>
  </si>
  <si>
    <t xml:space="preserve">Capital</t>
  </si>
  <si>
    <t xml:space="preserve">SAFE cap</t>
  </si>
  <si>
    <t xml:space="preserve">Lean — bootstrap 4× Sales (Carabobo) — capital (USD)</t>
  </si>
  <si>
    <t xml:space="preserve">Lean+ — 4× Sales curva ×1,15 (mismo capital Lean) — capital (USD)</t>
  </si>
  <si>
    <t xml:space="preserve">Base — piso de mercado — capital (USD)</t>
  </si>
  <si>
    <t xml:space="preserve">Constitución one-shot (sin escalación Año 2)</t>
  </si>
  <si>
    <t xml:space="preserve">Growth — mercado pleno — capital (USD)</t>
  </si>
  <si>
    <t xml:space="preserve">Constitución empresa y permisos (C.A. — sin BPF/CPE piloto)</t>
  </si>
  <si>
    <t xml:space="preserve">Blitz — Carabobo 6× Sales — capital (USD)</t>
  </si>
  <si>
    <t xml:space="preserve">ESCENARIOS PROYECCION §7 (P10/P50/P90)</t>
  </si>
  <si>
    <t xml:space="preserve">Escenario</t>
  </si>
  <si>
    <t xml:space="preserve">Activas M12</t>
  </si>
  <si>
    <t xml:space="preserve">ARPF</t>
  </si>
  <si>
    <t xml:space="preserve">Cash M12</t>
  </si>
  <si>
    <t xml:space="preserve">P10 pesimista</t>
  </si>
  <si>
    <t xml:space="preserve">P50 base</t>
  </si>
  <si>
    <t xml:space="preserve">P90 optimista</t>
  </si>
  <si>
    <t xml:space="preserve">Lean+ stretch (4×, curva ×1,15)</t>
  </si>
  <si>
    <t xml:space="preserve">Blitz stretch (6× Sales)</t>
  </si>
  <si>
    <t xml:space="preserve">Factor Año 2 intro/marketing (-50% one-shot)</t>
  </si>
  <si>
    <t xml:space="preserve">Introducción al mercado; primeros 3 meses</t>
  </si>
  <si>
    <t xml:space="preserve">Promedio mensual intro + mkt pre (3 meses)</t>
  </si>
  <si>
    <t xml:space="preserve">CapEx HQ / equipos / SaaS mensual → Hoja1 + Detallado. Use-of-funds SAFE → Hoja3 §A. No sumar bloques ESTA al TOTAL SAFE.</t>
  </si>
  <si>
    <t xml:space="preserve">BURN MENSUAL REF. (USD/mes) — enlazado Año 1</t>
  </si>
  <si>
    <t xml:space="preserve">SIMULADOR MARKETPLACE (espejo Año 1 — P50 base)</t>
  </si>
  <si>
    <t xml:space="preserve">USD/mes</t>
  </si>
  <si>
    <t xml:space="preserve">Mes</t>
  </si>
  <si>
    <t xml:space="preserve">Costo/activa (burn÷activas)</t>
  </si>
  <si>
    <t xml:space="preserve">Farmacias activas</t>
  </si>
  <si>
    <t xml:space="preserve">Costo total mes</t>
  </si>
  <si>
    <t xml:space="preserve">ARPF (USD)</t>
  </si>
  <si>
    <t xml:space="preserve">Revenue mes</t>
  </si>
  <si>
    <t xml:space="preserve">Util./activa</t>
  </si>
  <si>
    <t xml:space="preserve">Utilidad mes</t>
  </si>
  <si>
    <t xml:space="preserve">Dev junior (Flutter/Laravel)</t>
  </si>
  <si>
    <t xml:space="preserve">Nómina v3</t>
  </si>
  <si>
    <t xml:space="preserve">4× Sales B2B (base)</t>
  </si>
  <si>
    <t xml:space="preserve">PRESUPUESTO §2.3</t>
  </si>
  <si>
    <t xml:space="preserve">Founder + Co-CEO</t>
  </si>
  <si>
    <t xml:space="preserve">§2.3.1</t>
  </si>
  <si>
    <t xml:space="preserve">tramos</t>
  </si>
  <si>
    <t xml:space="preserve">PRESUPUESTO §6</t>
  </si>
  <si>
    <t xml:space="preserve">Variable — no en burn fijo Lean</t>
  </si>
  <si>
    <t xml:space="preserve">Total utilidad M1-M12 (P50)</t>
  </si>
  <si>
    <t xml:space="preserve">Total burn ref. catálogo (fijos + contingencia)</t>
  </si>
  <si>
    <t xml:space="preserve">Payback inversor ilustrativo (SAFE 18.66%)</t>
  </si>
  <si>
    <t xml:space="preserve">Stress P10 (ARPF 40 fijo)</t>
  </si>
  <si>
    <t xml:space="preserve">Ver hoja Flujo Total — fila Payback (años). No promesa contractual.</t>
  </si>
  <si>
    <t xml:space="preserve">Activas</t>
  </si>
  <si>
    <t xml:space="preserve">Costo</t>
  </si>
  <si>
    <t xml:space="preserve">Revenue</t>
  </si>
  <si>
    <t xml:space="preserve">Utilidad</t>
  </si>
  <si>
    <t xml:space="preserve">Modelo financiero v3.9.1 — jun 2026 — pack Lanzamiento Zonix Pharma</t>
  </si>
  <si>
    <t xml:space="preserve">P10 stress</t>
  </si>
  <si>
    <t xml:space="preserve">Total utilidad P10</t>
  </si>
  <si>
    <t xml:space="preserve">ITEMS</t>
  </si>
  <si>
    <t xml:space="preserve">DATOS</t>
  </si>
  <si>
    <t xml:space="preserve">ARPF placeholder USD/mes</t>
  </si>
  <si>
    <t xml:space="preserve">Cuota Basic USD/mes</t>
  </si>
  <si>
    <t xml:space="preserve">Cuota Pro USD/mes</t>
  </si>
  <si>
    <t xml:space="preserve">Cuota Enterprise USD/mes</t>
  </si>
  <si>
    <t xml:space="preserve">Mix Basic (ponderador)</t>
  </si>
  <si>
    <t xml:space="preserve">Mix Pro (ponderador)</t>
  </si>
  <si>
    <t xml:space="preserve">Mix Enterprise (ponderador)</t>
  </si>
  <si>
    <t xml:space="preserve">Participación Inversor SAFE</t>
  </si>
  <si>
    <t xml:space="preserve">Participación Founders</t>
  </si>
  <si>
    <t xml:space="preserve">Tasa descuento VAN</t>
  </si>
  <si>
    <t xml:space="preserve">Capital SAFE Lean (USD)</t>
  </si>
  <si>
    <t xml:space="preserve">Nota escenario</t>
  </si>
  <si>
    <t xml:space="preserve">Lean ancla pack</t>
  </si>
  <si>
    <t xml:space="preserve">AÑO 1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</si>
  <si>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</si>
  <si>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</si>
  <si>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</si>
  <si>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</si>
  <si>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</si>
  <si>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</si>
  <si>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</si>
  <si>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</si>
  <si>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</si>
  <si>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</t>
  </si>
  <si>
    <t xml:space="preserve">Farmacias firmadas (altas mes)</t>
  </si>
  <si>
    <t xml:space="preserve">Farmacias activas (stock cierre mes)</t>
  </si>
  <si>
    <t xml:space="preserve">Ingresos ($)</t>
  </si>
  <si>
    <t xml:space="preserve">      Ingresos cuota fija B2B</t>
  </si>
  <si>
    <t xml:space="preserve">      Ingresos comisión % GMV [EDITAR]</t>
  </si>
  <si>
    <t xml:space="preserve">      Ajuste billing pack PROYECCION §1.1</t>
  </si>
  <si>
    <t xml:space="preserve">Total Ingresos</t>
  </si>
  <si>
    <t xml:space="preserve">Costos ($)</t>
  </si>
  <si>
    <t xml:space="preserve">      Dev junior (Flutter/Laravel)</t>
  </si>
  <si>
    <t xml:space="preserve">      4× Sales B2B</t>
  </si>
  <si>
    <t xml:space="preserve">      CS + Community Manager</t>
  </si>
  <si>
    <t xml:space="preserve">      Founder + Co-CEO</t>
  </si>
  <si>
    <t xml:space="preserve">      Herramientas IA</t>
  </si>
  <si>
    <t xml:space="preserve">      Contador + Abogado</t>
  </si>
  <si>
    <t xml:space="preserve">      HQ casa (arriendo + servicios)</t>
  </si>
  <si>
    <t xml:space="preserve">      Servicios oficina (electricidad, agua, internet)</t>
  </si>
  <si>
    <t xml:space="preserve">      Hosting + SaaS + Firebase OTP</t>
  </si>
  <si>
    <t xml:space="preserve">      Meta Ads</t>
  </si>
  <si>
    <t xml:space="preserve">      Valla pequeña (desde M3)</t>
  </si>
  <si>
    <t xml:space="preserve">      Material + transporte + contingencia (incl. buffer VE 20%)</t>
  </si>
  <si>
    <t xml:space="preserve">Total Costos</t>
  </si>
  <si>
    <t xml:space="preserve">FCF</t>
  </si>
  <si>
    <t xml:space="preserve">FCF acumulado</t>
  </si>
  <si>
    <t xml:space="preserve">CCF (inversor SAFE 18,66%)</t>
  </si>
  <si>
    <t xml:space="preserve">ECF (founders 81,34%)</t>
  </si>
  <si>
    <t xml:space="preserve">Cash deployment (post Day-D)</t>
  </si>
  <si>
    <t xml:space="preserve">Cash inicial mes</t>
  </si>
  <si>
    <t xml:space="preserve">Cash final mes</t>
  </si>
  <si>
    <t xml:space="preserve">Farmacias activas cierre (ref.)</t>
  </si>
  <si>
    <t xml:space="preserve">Revenue anual USD [LARGO PLAZO]</t>
  </si>
  <si>
    <t xml:space="preserve">Costos anual USD [LARGO PLAZO]</t>
  </si>
  <si>
    <t xml:space="preserve">Etiqueta</t>
  </si>
  <si>
    <t xml:space="preserve">PROYECCION §2</t>
  </si>
  <si>
    <t xml:space="preserve">AÑO 2</t>
  </si>
  <si>
    <t xml:space="preserve">Farmacias activas promedio mes [LARGO PLAZO]</t>
  </si>
  <si>
    <t xml:space="preserve">      Revenue plataforma</t>
  </si>
  <si>
    <t xml:space="preserve">      Equipo comercial + ops</t>
  </si>
  <si>
    <t xml:space="preserve">      Marketing digital</t>
  </si>
  <si>
    <t xml:space="preserve">      Hosting + SaaS</t>
  </si>
  <si>
    <t xml:space="preserve">      Legal / contador</t>
  </si>
  <si>
    <t xml:space="preserve">      HQ + servicios</t>
  </si>
  <si>
    <t xml:space="preserve">      Imprevistos / buffer</t>
  </si>
  <si>
    <t xml:space="preserve">PROYECCION §3</t>
  </si>
  <si>
    <t xml:space="preserve">AÑO 3</t>
  </si>
  <si>
    <t xml:space="preserve">SUPUESTO MODELO</t>
  </si>
  <si>
    <t xml:space="preserve">AÑO 4</t>
  </si>
  <si>
    <t xml:space="preserve">AÑO 5</t>
  </si>
  <si>
    <t xml:space="preserve">PREMISAS DEL PROYECTO E INDICADORES — Zonix Pharma</t>
  </si>
  <si>
    <t xml:space="preserve">Tasa Descuento</t>
  </si>
  <si>
    <t xml:space="preserve">Inversión Inicial (wire T+0)</t>
  </si>
  <si>
    <t xml:space="preserve">SAFE post-money cap Lean</t>
  </si>
  <si>
    <t xml:space="preserve">Nota reparto</t>
  </si>
  <si>
    <t xml:space="preserve">Ilustrativo — no sustituye term sheet SAFE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</si>
  <si>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</si>
  <si>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</si>
  <si>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</si>
  <si>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</si>
  <si>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</si>
  <si>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Farmacias activas cierre</t>
  </si>
  <si>
    <t xml:space="preserve">Total Ingresos anual</t>
  </si>
  <si>
    <t xml:space="preserve">Total Costos anual</t>
  </si>
  <si>
    <t xml:space="preserve">FCF anual</t>
  </si>
  <si>
    <t xml:space="preserve">CCF (inversor SAFE)</t>
  </si>
  <si>
    <t xml:space="preserve">CCF acum Y5</t>
  </si>
  <si>
    <t xml:space="preserve">Por recuperar Y5</t>
  </si>
  <si>
    <t xml:space="preserve">CCF acumulado (inversor)</t>
  </si>
  <si>
    <t xml:space="preserve">Por recuperar inversor (SAFE)</t>
  </si>
  <si>
    <t xml:space="preserve">ECF (founders)</t>
  </si>
  <si>
    <t xml:space="preserve">Flujo IRR</t>
  </si>
  <si>
    <t xml:space="preserve">VP Flujos(5)</t>
  </si>
  <si>
    <t xml:space="preserve">VAN(5)</t>
  </si>
  <si>
    <t xml:space="preserve">VP Flujos(3)</t>
  </si>
  <si>
    <t xml:space="preserve">VAN(3)</t>
  </si>
  <si>
    <t xml:space="preserve">TIR(5)</t>
  </si>
  <si>
    <t xml:space="preserve">TIR(3)</t>
  </si>
  <si>
    <t xml:space="preserve">Tasa Requerida (r)</t>
  </si>
  <si>
    <t xml:space="preserve">Payback inversor (años, ilustrativo)</t>
  </si>
  <si>
    <t xml:space="preserve">% SAFE recuperado (CCF acum Y5, ilustrativo)</t>
  </si>
  <si>
    <t xml:space="preserve">Lectura payback</t>
  </si>
  <si>
    <t xml:space="preserve">NOTA: Reparto CCF/ECF ilustrativo post-cap SAFE 18,66%. No cláusula de dividendos.</t>
  </si>
  <si>
    <t xml:space="preserve">TASAS DE CRECIMIENTO — Zonix Pharma</t>
  </si>
  <si>
    <t xml:space="preserve">Revenue anual % vs año anterior</t>
  </si>
  <si>
    <t xml:space="preserve">Revenue anual USD</t>
  </si>
  <si>
    <t xml:space="preserve">ARPF placeholder USD</t>
  </si>
  <si>
    <t xml:space="preserve">Burn prom. mensual USD</t>
  </si>
  <si>
    <t xml:space="preserve">ancla</t>
  </si>
  <si>
    <t xml:space="preserve">PROY §2</t>
  </si>
  <si>
    <t xml:space="preserve">PROY §3</t>
  </si>
  <si>
    <t xml:space="preserve">SUPUESTO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</si>
</sst>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"/>
    <numFmt numFmtId="166" formatCode="0.00\ %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HelveticaNeueLT Std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9"/>
      <name val="Aptos Narrow"/>
      <family val="0"/>
      <charset val="1"/>
    </font>
    <font>
      <b val="true"/>
      <sz val="10"/>
      <color rgb="FFFFFFFF"/>
      <name val="HelveticaNeueLT Std"/>
      <family val="0"/>
      <charset val="1"/>
    </font>
    <font>
      <i val="true"/>
      <sz val="9"/>
      <color rgb="FF444444"/>
      <name val="Aptos Narrow"/>
      <family val="0"/>
      <charset val="1"/>
    </font>
    <font>
      <b val="true"/>
      <sz val="10"/>
      <color rgb="FF444444"/>
      <name val="HelveticaNeueLT Std"/>
      <family val="0"/>
      <charset val="1"/>
    </font>
    <font>
      <b val="true"/>
      <sz val="24"/>
      <name val="Calibri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ptos Narro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AC75D5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1B2E8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double">
        <color rgb="FFAC75D5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double">
        <color rgb="FFAC75D5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C75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1B2E8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M10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D5" activeCellId="0" sqref="D5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85.1"/>
    <col collapsed="false" customWidth="true" hidden="false" outlineLevel="0" max="5" min="5" style="0" width="13.9"/>
    <col collapsed="false" customWidth="true" hidden="false" outlineLevel="0" max="6" min="6" style="0" width="16.39"/>
    <col collapsed="false" customWidth="true" hidden="false" outlineLevel="0" max="7" min="7" style="0" width="21.6"/>
    <col collapsed="false" customWidth="true" hidden="false" outlineLevel="0" max="8" min="8" style="0" width="11.6"/>
    <col collapsed="false" customWidth="true" hidden="false" outlineLevel="0" max="11" min="9" style="0" width="13"/>
    <col collapsed="false" customWidth="true" hidden="false" outlineLevel="0" max="12" min="12" style="0" width="50.7"/>
    <col collapsed="false" customWidth="true" hidden="false" outlineLevel="0" max="13" min="13" style="0" width="56.1"/>
  </cols>
  <sheetData>
    <row r="4" customFormat="false" ht="29.1" hidden="false" customHeight="true" outlineLevel="0" collapsed="false">
      <c r="C4" s="1" t="s">
        <v>0</v>
      </c>
      <c r="D4" s="1"/>
      <c r="E4" s="1"/>
      <c r="F4" s="1"/>
      <c r="G4" s="1"/>
      <c r="H4" s="1"/>
      <c r="I4" s="1"/>
    </row>
    <row r="8" customFormat="false" ht="15" hidden="false" customHeight="false" outlineLevel="0" collapsed="false">
      <c r="C8" s="2" t="s">
        <v>1</v>
      </c>
      <c r="E8" s="2"/>
      <c r="F8" s="2"/>
      <c r="G8" s="2"/>
      <c r="H8" s="2"/>
      <c r="I8" s="2"/>
    </row>
    <row r="9" customFormat="false" ht="15" hidden="false" customHeight="false" outlineLevel="0" collapsed="false">
      <c r="E9" s="3" t="s">
        <v>2</v>
      </c>
    </row>
    <row r="10" customFormat="false" ht="15" hidden="false" customHeight="false" outlineLevel="0" collapsed="false">
      <c r="C10" s="4" t="s">
        <v>3</v>
      </c>
      <c r="D10" s="4"/>
      <c r="F10" s="3" t="s">
        <v>4</v>
      </c>
      <c r="K10" s="5" t="s">
        <v>5</v>
      </c>
      <c r="L10" s="5"/>
      <c r="M10" s="5"/>
    </row>
    <row r="11" customFormat="false" ht="15" hidden="false" customHeight="false" outlineLevel="0" collapsed="false">
      <c r="C11" s="6" t="s">
        <v>6</v>
      </c>
      <c r="D11" s="6"/>
      <c r="E11" s="7" t="n">
        <v>1</v>
      </c>
      <c r="F11" s="7" t="n">
        <v>1200</v>
      </c>
      <c r="G11" s="8" t="n">
        <f aca="false">E11*F11</f>
        <v>1200</v>
      </c>
      <c r="H11" s="9" t="n">
        <f aca="false">IF(G11=0,"",G11/G109)</f>
        <v>0.0107154337964782</v>
      </c>
      <c r="K11" s="10" t="s">
        <v>7</v>
      </c>
      <c r="M11" s="7" t="n">
        <f aca="false">G76</f>
        <v>14208</v>
      </c>
    </row>
    <row r="12" customFormat="false" ht="15" hidden="false" customHeight="false" outlineLevel="0" collapsed="false">
      <c r="C12" s="6" t="s">
        <v>8</v>
      </c>
      <c r="D12" s="6"/>
      <c r="E12" s="7" t="n">
        <v>1</v>
      </c>
      <c r="F12" s="7" t="n">
        <v>600</v>
      </c>
      <c r="G12" s="7" t="n">
        <f aca="false">E12*F12</f>
        <v>600</v>
      </c>
      <c r="H12" s="11" t="n">
        <f aca="false">IF(G12=0,"",G12/G109)</f>
        <v>0.0053577168982391</v>
      </c>
      <c r="K12" s="10" t="s">
        <v>9</v>
      </c>
      <c r="M12" s="7" t="n">
        <f aca="false">G78</f>
        <v>17377</v>
      </c>
    </row>
    <row r="13" customFormat="false" ht="15" hidden="false" customHeight="false" outlineLevel="0" collapsed="false">
      <c r="C13" s="6" t="s">
        <v>10</v>
      </c>
      <c r="D13" s="6"/>
      <c r="E13" s="7" t="n">
        <v>1</v>
      </c>
      <c r="F13" s="7" t="n">
        <v>1500</v>
      </c>
      <c r="G13" s="7" t="n">
        <f aca="false">E13*F13</f>
        <v>1500</v>
      </c>
      <c r="H13" s="9" t="n">
        <f aca="false">IF(G13=0,"",G13/G109)</f>
        <v>0.0133942922455977</v>
      </c>
      <c r="I13" s="3" t="s">
        <v>11</v>
      </c>
      <c r="K13" s="10" t="s">
        <v>12</v>
      </c>
      <c r="M13" s="7" t="n">
        <f aca="false">G72</f>
        <v>33835</v>
      </c>
    </row>
    <row r="14" customFormat="false" ht="15" hidden="false" customHeight="false" outlineLevel="0" collapsed="false">
      <c r="C14" s="6" t="s">
        <v>13</v>
      </c>
      <c r="D14" s="6"/>
      <c r="E14" s="7" t="n">
        <v>1</v>
      </c>
      <c r="F14" s="7" t="n">
        <v>1100</v>
      </c>
      <c r="G14" s="7" t="n">
        <f aca="false">E14*F14</f>
        <v>1100</v>
      </c>
      <c r="H14" s="9" t="n">
        <f aca="false">IF(G14=0,"",G14/G109)</f>
        <v>0.00982248098010501</v>
      </c>
      <c r="K14" s="10" t="s">
        <v>14</v>
      </c>
      <c r="M14" s="7" t="n">
        <f aca="false">G74</f>
        <v>78153</v>
      </c>
    </row>
    <row r="15" customFormat="false" ht="15" hidden="false" customHeight="false" outlineLevel="0" collapsed="false">
      <c r="C15" s="6" t="s">
        <v>15</v>
      </c>
      <c r="D15" s="6"/>
      <c r="E15" s="7" t="n">
        <v>1</v>
      </c>
      <c r="F15" s="7" t="n">
        <v>100</v>
      </c>
      <c r="G15" s="7" t="n">
        <f aca="false">E15*F15</f>
        <v>100</v>
      </c>
      <c r="H15" s="9" t="n">
        <f aca="false">IF(G15=0,"",G15/G109)</f>
        <v>0.000892952816373183</v>
      </c>
      <c r="K15" s="10" t="s">
        <v>16</v>
      </c>
      <c r="M15" s="7" t="n">
        <f aca="false">G107</f>
        <v>97290</v>
      </c>
    </row>
    <row r="16" customFormat="false" ht="15" hidden="false" customHeight="false" outlineLevel="0" collapsed="false">
      <c r="C16" s="6" t="s">
        <v>17</v>
      </c>
      <c r="D16" s="6"/>
      <c r="E16" s="7" t="n">
        <v>1</v>
      </c>
      <c r="F16" s="7" t="n">
        <v>200</v>
      </c>
      <c r="G16" s="7" t="n">
        <f aca="false">E16*F16</f>
        <v>200</v>
      </c>
      <c r="H16" s="9" t="n">
        <f aca="false">IF(G16=0,"",G16/G109)</f>
        <v>0.00178590563274637</v>
      </c>
      <c r="K16" s="10" t="s">
        <v>18</v>
      </c>
      <c r="M16" s="7" t="n">
        <f aca="false">G108</f>
        <v>490</v>
      </c>
    </row>
    <row r="17" customFormat="false" ht="15" hidden="false" customHeight="false" outlineLevel="0" collapsed="false">
      <c r="C17" s="6" t="s">
        <v>19</v>
      </c>
      <c r="D17" s="6"/>
      <c r="E17" s="7" t="n">
        <v>1</v>
      </c>
      <c r="F17" s="7" t="n">
        <v>350</v>
      </c>
      <c r="G17" s="7" t="n">
        <f aca="false">E17*F17</f>
        <v>350</v>
      </c>
      <c r="H17" s="9" t="n">
        <f aca="false">IF(G17=0,"",G17/G109)</f>
        <v>0.00312533485730614</v>
      </c>
      <c r="K17" s="10" t="s">
        <v>20</v>
      </c>
      <c r="M17" s="8" t="n">
        <f aca="false">G109</f>
        <v>111988</v>
      </c>
    </row>
    <row r="18" customFormat="false" ht="15" hidden="false" customHeight="false" outlineLevel="0" collapsed="false">
      <c r="C18" s="12" t="s">
        <v>21</v>
      </c>
      <c r="D18" s="12"/>
      <c r="E18" s="12"/>
      <c r="F18" s="12"/>
      <c r="G18" s="12" t="n">
        <f aca="false">SUM(G11:G17)</f>
        <v>5050</v>
      </c>
      <c r="H18" s="13" t="n">
        <f aca="false">IF(G18=0,"",G18/G109)</f>
        <v>0.0450941172268457</v>
      </c>
      <c r="I18" s="12"/>
      <c r="K18" s="10" t="s">
        <v>22</v>
      </c>
      <c r="M18" s="14" t="n">
        <f aca="false">M17/600000</f>
        <v>0.186646666666667</v>
      </c>
    </row>
    <row r="20" customFormat="false" ht="15" hidden="false" customHeight="false" outlineLevel="0" collapsed="false">
      <c r="C20" s="6" t="s">
        <v>23</v>
      </c>
      <c r="D20" s="6"/>
      <c r="E20" s="6"/>
      <c r="F20" s="6"/>
      <c r="G20" s="6"/>
      <c r="H20" s="6"/>
      <c r="I20" s="6"/>
      <c r="K20" s="15" t="s">
        <v>24</v>
      </c>
    </row>
    <row r="21" customFormat="false" ht="15" hidden="false" customHeight="false" outlineLevel="0" collapsed="false">
      <c r="K21" s="10" t="s">
        <v>25</v>
      </c>
      <c r="M21" s="7" t="n">
        <f aca="false">G90</f>
        <v>5155</v>
      </c>
    </row>
    <row r="22" customFormat="false" ht="15" hidden="false" customHeight="false" outlineLevel="0" collapsed="false">
      <c r="C22" s="6" t="s">
        <v>26</v>
      </c>
      <c r="D22" s="6"/>
      <c r="E22" s="6"/>
      <c r="F22" s="6"/>
      <c r="G22" s="6"/>
      <c r="H22" s="6"/>
      <c r="I22" s="6"/>
      <c r="K22" s="10" t="s">
        <v>27</v>
      </c>
      <c r="M22" s="7" t="n">
        <f aca="false">G103</f>
        <v>2953</v>
      </c>
    </row>
    <row r="23" customFormat="false" ht="15" hidden="false" customHeight="true" outlineLevel="0" collapsed="false">
      <c r="K23" s="16" t="s">
        <v>28</v>
      </c>
      <c r="L23" s="16"/>
      <c r="M23" s="16"/>
    </row>
    <row r="24" customFormat="false" ht="15" hidden="false" customHeight="false" outlineLevel="0" collapsed="false">
      <c r="C24" s="4" t="s">
        <v>29</v>
      </c>
      <c r="D24" s="4"/>
    </row>
    <row r="25" customFormat="false" ht="15" hidden="false" customHeight="false" outlineLevel="0" collapsed="false">
      <c r="C25" s="6" t="s">
        <v>30</v>
      </c>
      <c r="D25" s="6"/>
      <c r="E25" s="7" t="n">
        <v>1</v>
      </c>
      <c r="F25" s="7" t="n">
        <v>800</v>
      </c>
      <c r="G25" s="7" t="n">
        <f aca="false">E25*F25</f>
        <v>800</v>
      </c>
      <c r="H25" s="9" t="n">
        <f aca="false">IF(G25=0,"",G25/G109)</f>
        <v>0.00714362253098546</v>
      </c>
    </row>
    <row r="26" customFormat="false" ht="15" hidden="false" customHeight="false" outlineLevel="0" collapsed="false">
      <c r="C26" s="6" t="s">
        <v>31</v>
      </c>
      <c r="D26" s="6"/>
      <c r="E26" s="7" t="n">
        <v>1</v>
      </c>
      <c r="F26" s="7" t="n">
        <v>400</v>
      </c>
      <c r="G26" s="7" t="n">
        <f aca="false">E26*F26</f>
        <v>400</v>
      </c>
      <c r="H26" s="9" t="n">
        <f aca="false">IF(G26=0,"",G26/G109)</f>
        <v>0.00357181126549273</v>
      </c>
    </row>
    <row r="27" customFormat="false" ht="15" hidden="false" customHeight="false" outlineLevel="0" collapsed="false">
      <c r="C27" s="6" t="s">
        <v>32</v>
      </c>
      <c r="D27" s="6"/>
      <c r="E27" s="7" t="n">
        <v>2</v>
      </c>
      <c r="F27" s="7" t="n">
        <v>350</v>
      </c>
      <c r="G27" s="7" t="n">
        <f aca="false">E27*F27</f>
        <v>700</v>
      </c>
      <c r="H27" s="9" t="n">
        <f aca="false">IF(G27=0,"",G27/G109)</f>
        <v>0.00625066971461228</v>
      </c>
    </row>
    <row r="28" customFormat="false" ht="15" hidden="false" customHeight="false" outlineLevel="0" collapsed="false">
      <c r="C28" s="6" t="s">
        <v>33</v>
      </c>
      <c r="D28" s="6"/>
      <c r="E28" s="7" t="n">
        <v>1</v>
      </c>
      <c r="F28" s="7" t="n">
        <v>500</v>
      </c>
      <c r="G28" s="7" t="n">
        <f aca="false">E28*F28</f>
        <v>500</v>
      </c>
      <c r="H28" s="9" t="n">
        <f aca="false">IF(G28=0,"",G28/G109)</f>
        <v>0.00446476408186592</v>
      </c>
    </row>
    <row r="29" customFormat="false" ht="15" hidden="false" customHeight="false" outlineLevel="0" collapsed="false">
      <c r="C29" s="6" t="s">
        <v>34</v>
      </c>
      <c r="D29" s="6"/>
      <c r="E29" s="7" t="n">
        <v>1</v>
      </c>
      <c r="F29" s="7" t="n">
        <v>608</v>
      </c>
      <c r="G29" s="7" t="n">
        <f aca="false">E29*F29</f>
        <v>608</v>
      </c>
      <c r="H29" s="9" t="n">
        <f aca="false">IF(G29=0,"",G29/G109)</f>
        <v>0.00542915312354895</v>
      </c>
    </row>
    <row r="30" customFormat="false" ht="15" hidden="false" customHeight="false" outlineLevel="0" collapsed="false">
      <c r="C30" s="6" t="s">
        <v>35</v>
      </c>
      <c r="D30" s="6"/>
      <c r="E30" s="7" t="n">
        <v>1</v>
      </c>
      <c r="F30" s="7" t="n">
        <v>800</v>
      </c>
      <c r="G30" s="7" t="n">
        <f aca="false">E30*F30</f>
        <v>800</v>
      </c>
      <c r="H30" s="9" t="n">
        <f aca="false">IF(G30=0,"",G30/G109)</f>
        <v>0.00714362253098546</v>
      </c>
    </row>
    <row r="31" customFormat="false" ht="15" hidden="false" customHeight="false" outlineLevel="0" collapsed="false">
      <c r="C31" s="12" t="s">
        <v>36</v>
      </c>
      <c r="D31" s="12"/>
      <c r="E31" s="12"/>
      <c r="F31" s="12"/>
      <c r="G31" s="12" t="n">
        <f aca="false">SUM(G25:G30)</f>
        <v>3808</v>
      </c>
      <c r="H31" s="13" t="n">
        <f aca="false">IF(G31=0,"",G31/G109)</f>
        <v>0.0340036432474908</v>
      </c>
      <c r="I31" s="12"/>
    </row>
    <row r="33" customFormat="false" ht="15" hidden="false" customHeight="false" outlineLevel="0" collapsed="false">
      <c r="C33" s="4" t="s">
        <v>37</v>
      </c>
      <c r="D33" s="4"/>
    </row>
    <row r="34" customFormat="false" ht="15" hidden="false" customHeight="false" outlineLevel="0" collapsed="false">
      <c r="C34" s="6" t="s">
        <v>38</v>
      </c>
      <c r="D34" s="6"/>
      <c r="E34" s="7" t="n">
        <v>3</v>
      </c>
      <c r="F34" s="7" t="n">
        <v>400</v>
      </c>
      <c r="G34" s="7" t="n">
        <f aca="false">E34*F34</f>
        <v>1200</v>
      </c>
      <c r="H34" s="9" t="n">
        <f aca="false">IF(G34=0,"",G34/G109)</f>
        <v>0.0107154337964782</v>
      </c>
    </row>
    <row r="35" customFormat="false" ht="15" hidden="false" customHeight="false" outlineLevel="0" collapsed="false">
      <c r="C35" s="6" t="s">
        <v>39</v>
      </c>
      <c r="D35" s="6"/>
      <c r="E35" s="7" t="n">
        <v>1</v>
      </c>
      <c r="F35" s="7" t="n">
        <v>600</v>
      </c>
      <c r="G35" s="7" t="n">
        <f aca="false">E35*F35</f>
        <v>600</v>
      </c>
      <c r="H35" s="9" t="n">
        <f aca="false">IF(G35=0,"",G35/G109)</f>
        <v>0.0053577168982391</v>
      </c>
    </row>
    <row r="36" customFormat="false" ht="15" hidden="false" customHeight="false" outlineLevel="0" collapsed="false">
      <c r="C36" s="6" t="s">
        <v>40</v>
      </c>
      <c r="D36" s="6"/>
      <c r="E36" s="7" t="n">
        <v>1</v>
      </c>
      <c r="F36" s="7" t="n">
        <v>450</v>
      </c>
      <c r="G36" s="7" t="n">
        <f aca="false">E36*F36</f>
        <v>450</v>
      </c>
      <c r="H36" s="9" t="n">
        <f aca="false">IF(G36=0,"",G36/G109)</f>
        <v>0.00401828767367932</v>
      </c>
    </row>
    <row r="37" customFormat="false" ht="15" hidden="false" customHeight="false" outlineLevel="0" collapsed="false">
      <c r="C37" s="12" t="s">
        <v>41</v>
      </c>
      <c r="D37" s="12"/>
      <c r="E37" s="12"/>
      <c r="F37" s="12"/>
      <c r="G37" s="12" t="n">
        <f aca="false">SUM(G34:G36)</f>
        <v>2250</v>
      </c>
      <c r="H37" s="13" t="n">
        <f aca="false">IF(G37=0,"",G37/G109)</f>
        <v>0.0200914383683966</v>
      </c>
      <c r="I37" s="12"/>
    </row>
    <row r="39" customFormat="false" ht="15" hidden="false" customHeight="false" outlineLevel="0" collapsed="false">
      <c r="C39" s="4" t="s">
        <v>42</v>
      </c>
      <c r="D39" s="4"/>
    </row>
    <row r="40" customFormat="false" ht="15" hidden="false" customHeight="false" outlineLevel="0" collapsed="false">
      <c r="C40" s="6" t="s">
        <v>43</v>
      </c>
      <c r="D40" s="6"/>
      <c r="E40" s="6"/>
      <c r="F40" s="6"/>
      <c r="G40" s="6"/>
      <c r="H40" s="6"/>
      <c r="I40" s="6"/>
    </row>
    <row r="42" customFormat="false" ht="15" hidden="false" customHeight="false" outlineLevel="0" collapsed="false">
      <c r="C42" s="6" t="s">
        <v>44</v>
      </c>
      <c r="D42" s="6"/>
      <c r="E42" s="7" t="n">
        <v>3</v>
      </c>
      <c r="F42" s="7" t="n">
        <v>1000</v>
      </c>
      <c r="G42" s="7" t="n">
        <f aca="false">E42*F42</f>
        <v>3000</v>
      </c>
      <c r="H42" s="9" t="n">
        <f aca="false">IF(G42=0,"",G42/G109)</f>
        <v>0.0267885844911955</v>
      </c>
    </row>
    <row r="43" customFormat="false" ht="15" hidden="false" customHeight="false" outlineLevel="0" collapsed="false">
      <c r="C43" s="6" t="s">
        <v>45</v>
      </c>
      <c r="D43" s="6"/>
      <c r="E43" s="7" t="n">
        <v>3</v>
      </c>
      <c r="F43" s="7" t="n">
        <v>1000</v>
      </c>
      <c r="G43" s="7" t="n">
        <f aca="false">E43*F43</f>
        <v>3000</v>
      </c>
      <c r="H43" s="9" t="n">
        <f aca="false">IF(G43=0,"",G43/G109)</f>
        <v>0.0267885844911955</v>
      </c>
    </row>
    <row r="44" customFormat="false" ht="15" hidden="false" customHeight="false" outlineLevel="0" collapsed="false">
      <c r="C44" s="6" t="s">
        <v>46</v>
      </c>
      <c r="D44" s="6"/>
      <c r="E44" s="7" t="n">
        <v>3</v>
      </c>
      <c r="F44" s="7" t="n">
        <v>600</v>
      </c>
      <c r="G44" s="7" t="n">
        <f aca="false">E44*F44</f>
        <v>1800</v>
      </c>
      <c r="H44" s="9" t="n">
        <f aca="false">IF(G44=0,"",G44/G109)</f>
        <v>0.0160731506947173</v>
      </c>
    </row>
    <row r="45" customFormat="false" ht="15" hidden="false" customHeight="false" outlineLevel="0" collapsed="false">
      <c r="C45" s="6" t="s">
        <v>47</v>
      </c>
      <c r="D45" s="6"/>
      <c r="E45" s="7" t="n">
        <v>3</v>
      </c>
      <c r="F45" s="7" t="n">
        <v>1400</v>
      </c>
      <c r="G45" s="7" t="n">
        <f aca="false">E45*F45</f>
        <v>4200</v>
      </c>
      <c r="H45" s="9" t="n">
        <f aca="false">IF(G45=0,"",G45/G109)</f>
        <v>0.0375040182876737</v>
      </c>
    </row>
    <row r="46" customFormat="false" ht="15" hidden="false" customHeight="false" outlineLevel="0" collapsed="false">
      <c r="C46" s="6" t="s">
        <v>48</v>
      </c>
      <c r="D46" s="6"/>
      <c r="E46" s="7" t="n">
        <v>3</v>
      </c>
      <c r="F46" s="7" t="n">
        <v>400</v>
      </c>
      <c r="G46" s="7" t="n">
        <f aca="false">E46*F46</f>
        <v>1200</v>
      </c>
      <c r="H46" s="9" t="n">
        <f aca="false">IF(G46=0,"",G46/G109)</f>
        <v>0.0107154337964782</v>
      </c>
    </row>
    <row r="47" customFormat="false" ht="15" hidden="false" customHeight="false" outlineLevel="0" collapsed="false">
      <c r="C47" s="6" t="s">
        <v>49</v>
      </c>
      <c r="D47" s="6"/>
      <c r="E47" s="7" t="n">
        <v>3</v>
      </c>
      <c r="F47" s="7" t="n">
        <v>425</v>
      </c>
      <c r="G47" s="7" t="n">
        <f aca="false">E47*F47</f>
        <v>1275</v>
      </c>
      <c r="H47" s="9" t="n">
        <f aca="false">IF(G47=0,"",G47/G109)</f>
        <v>0.0113851484087581</v>
      </c>
    </row>
    <row r="48" customFormat="false" ht="15" hidden="false" customHeight="false" outlineLevel="0" collapsed="false">
      <c r="C48" s="6" t="s">
        <v>50</v>
      </c>
      <c r="D48" s="6"/>
      <c r="E48" s="7" t="n">
        <v>3</v>
      </c>
      <c r="F48" s="7" t="n">
        <v>330</v>
      </c>
      <c r="G48" s="7" t="n">
        <f aca="false">E48*F48</f>
        <v>990</v>
      </c>
      <c r="H48" s="9" t="n">
        <f aca="false">IF(G48=0,"",G48/G109)</f>
        <v>0.00884023288209451</v>
      </c>
    </row>
    <row r="49" customFormat="false" ht="15" hidden="false" customHeight="false" outlineLevel="0" collapsed="false">
      <c r="C49" s="12" t="s">
        <v>51</v>
      </c>
      <c r="D49" s="12"/>
      <c r="E49" s="12"/>
      <c r="F49" s="12"/>
      <c r="G49" s="12" t="n">
        <f aca="false">SUM(G42:G48)</f>
        <v>15465</v>
      </c>
      <c r="H49" s="13" t="n">
        <f aca="false">IF(G49=0,"",G49/G109)</f>
        <v>0.138095153052113</v>
      </c>
      <c r="I49" s="12"/>
    </row>
    <row r="51" customFormat="false" ht="15" hidden="false" customHeight="false" outlineLevel="0" collapsed="false">
      <c r="C51" s="4" t="s">
        <v>52</v>
      </c>
      <c r="D51" s="4"/>
    </row>
    <row r="52" customFormat="false" ht="15" hidden="false" customHeight="false" outlineLevel="0" collapsed="false">
      <c r="C52" s="6" t="s">
        <v>53</v>
      </c>
      <c r="D52" s="6"/>
      <c r="E52" s="6"/>
      <c r="F52" s="6"/>
      <c r="G52" s="6"/>
      <c r="H52" s="6"/>
      <c r="I52" s="6"/>
    </row>
    <row r="54" customFormat="false" ht="15" hidden="false" customHeight="false" outlineLevel="0" collapsed="false">
      <c r="C54" s="6" t="s">
        <v>54</v>
      </c>
      <c r="D54" s="6"/>
      <c r="E54" s="7" t="n">
        <v>3</v>
      </c>
      <c r="F54" s="7" t="n">
        <v>167</v>
      </c>
      <c r="G54" s="7" t="n">
        <f aca="false">E54*F54</f>
        <v>501</v>
      </c>
      <c r="H54" s="9" t="n">
        <f aca="false">IF(G54=0,"",G54/G109)</f>
        <v>0.00447369361002965</v>
      </c>
    </row>
    <row r="55" customFormat="false" ht="15" hidden="false" customHeight="false" outlineLevel="0" collapsed="false">
      <c r="C55" s="6" t="s">
        <v>55</v>
      </c>
      <c r="D55" s="6"/>
      <c r="E55" s="7" t="n">
        <v>1</v>
      </c>
      <c r="F55" s="7" t="n">
        <v>200</v>
      </c>
      <c r="G55" s="7" t="n">
        <f aca="false">E55*F55</f>
        <v>200</v>
      </c>
      <c r="H55" s="9" t="n">
        <f aca="false">IF(G55=0,"",G55/G109)</f>
        <v>0.00178590563274637</v>
      </c>
    </row>
    <row r="56" customFormat="false" ht="15" hidden="false" customHeight="false" outlineLevel="0" collapsed="false">
      <c r="C56" s="6" t="s">
        <v>56</v>
      </c>
      <c r="D56" s="6"/>
      <c r="E56" s="7" t="n">
        <v>1</v>
      </c>
      <c r="F56" s="7" t="n">
        <v>350</v>
      </c>
      <c r="G56" s="7" t="n">
        <f aca="false">E56*F56</f>
        <v>350</v>
      </c>
      <c r="H56" s="9" t="n">
        <f aca="false">IF(G56=0,"",G56/G109)</f>
        <v>0.00312533485730614</v>
      </c>
    </row>
    <row r="57" customFormat="false" ht="15" hidden="false" customHeight="false" outlineLevel="0" collapsed="false">
      <c r="C57" s="12" t="s">
        <v>57</v>
      </c>
      <c r="D57" s="12"/>
      <c r="E57" s="12"/>
      <c r="F57" s="12"/>
      <c r="G57" s="12" t="n">
        <f aca="false">SUM(G54:G56)</f>
        <v>1051</v>
      </c>
      <c r="H57" s="13" t="n">
        <f aca="false">IF(G57=0,"",G57/G109)</f>
        <v>0.00938493410008215</v>
      </c>
      <c r="I57" s="12"/>
    </row>
    <row r="59" customFormat="false" ht="15" hidden="false" customHeight="false" outlineLevel="0" collapsed="false">
      <c r="C59" s="4" t="s">
        <v>58</v>
      </c>
      <c r="D59" s="4"/>
    </row>
    <row r="60" customFormat="false" ht="15" hidden="false" customHeight="false" outlineLevel="0" collapsed="false">
      <c r="C60" s="6" t="s">
        <v>59</v>
      </c>
      <c r="D60" s="6"/>
      <c r="E60" s="7" t="n">
        <v>1</v>
      </c>
      <c r="F60" s="7" t="n">
        <v>1250</v>
      </c>
      <c r="G60" s="7" t="n">
        <f aca="false">E60*F60</f>
        <v>1250</v>
      </c>
      <c r="H60" s="9" t="n">
        <f aca="false">IF(G60=0,"",G60/G109)</f>
        <v>0.0111619102046648</v>
      </c>
    </row>
    <row r="61" customFormat="false" ht="15" hidden="false" customHeight="false" outlineLevel="0" collapsed="false">
      <c r="C61" s="6" t="s">
        <v>60</v>
      </c>
      <c r="D61" s="6"/>
      <c r="E61" s="7" t="n">
        <v>1</v>
      </c>
      <c r="F61" s="7" t="n">
        <v>400</v>
      </c>
      <c r="G61" s="7" t="n">
        <f aca="false">E61*F61</f>
        <v>400</v>
      </c>
      <c r="H61" s="9" t="n">
        <f aca="false">IF(G61=0,"",G61/G109)</f>
        <v>0.00357181126549273</v>
      </c>
    </row>
    <row r="62" customFormat="false" ht="15" hidden="false" customHeight="false" outlineLevel="0" collapsed="false">
      <c r="C62" s="6" t="s">
        <v>61</v>
      </c>
      <c r="D62" s="6"/>
      <c r="E62" s="7" t="n">
        <v>1</v>
      </c>
      <c r="F62" s="7" t="n">
        <v>800</v>
      </c>
      <c r="G62" s="7" t="n">
        <f aca="false">E62*F62</f>
        <v>800</v>
      </c>
      <c r="H62" s="9" t="n">
        <f aca="false">IF(G62=0,"",G62/G109)</f>
        <v>0.00714362253098546</v>
      </c>
    </row>
    <row r="63" customFormat="false" ht="15" hidden="false" customHeight="false" outlineLevel="0" collapsed="false">
      <c r="C63" s="6" t="s">
        <v>62</v>
      </c>
      <c r="D63" s="6"/>
      <c r="E63" s="7" t="n">
        <v>1</v>
      </c>
      <c r="F63" s="7" t="n">
        <v>850</v>
      </c>
      <c r="G63" s="7" t="n">
        <f aca="false">E63*F63</f>
        <v>850</v>
      </c>
      <c r="H63" s="9" t="n">
        <f aca="false">IF(G63=0,"",G63/G109)</f>
        <v>0.00759009893917205</v>
      </c>
    </row>
    <row r="64" customFormat="false" ht="15" hidden="false" customHeight="false" outlineLevel="0" collapsed="false">
      <c r="C64" s="6" t="s">
        <v>63</v>
      </c>
      <c r="D64" s="6"/>
      <c r="E64" s="7" t="n">
        <v>1</v>
      </c>
      <c r="F64" s="7" t="n">
        <v>950</v>
      </c>
      <c r="G64" s="7" t="n">
        <f aca="false">E64*F64</f>
        <v>950</v>
      </c>
      <c r="H64" s="9" t="n">
        <f aca="false">IF(G64=0,"",G64/G109)</f>
        <v>0.00848305175554524</v>
      </c>
    </row>
    <row r="65" customFormat="false" ht="15" hidden="false" customHeight="false" outlineLevel="0" collapsed="false">
      <c r="C65" s="6" t="s">
        <v>64</v>
      </c>
      <c r="D65" s="6"/>
      <c r="E65" s="7" t="n">
        <v>1</v>
      </c>
      <c r="F65" s="7" t="n">
        <v>1100</v>
      </c>
      <c r="G65" s="7" t="n">
        <f aca="false">E65*F65</f>
        <v>1100</v>
      </c>
      <c r="H65" s="9" t="n">
        <f aca="false">IF(G65=0,"",G65/G109)</f>
        <v>0.00982248098010501</v>
      </c>
    </row>
    <row r="66" customFormat="false" ht="15" hidden="false" customHeight="false" outlineLevel="0" collapsed="false">
      <c r="C66" s="12" t="s">
        <v>65</v>
      </c>
      <c r="D66" s="12"/>
      <c r="E66" s="12"/>
      <c r="F66" s="12"/>
      <c r="G66" s="12" t="n">
        <f aca="false">SUM(G60:G65)</f>
        <v>5350</v>
      </c>
      <c r="H66" s="13" t="n">
        <f aca="false">IF(G66=0,"",G66/G109)</f>
        <v>0.0477729756759653</v>
      </c>
      <c r="I66" s="12"/>
    </row>
    <row r="68" customFormat="false" ht="15" hidden="false" customHeight="false" outlineLevel="0" collapsed="false">
      <c r="C68" s="4" t="s">
        <v>66</v>
      </c>
      <c r="D68" s="4"/>
    </row>
    <row r="69" customFormat="false" ht="15" hidden="false" customHeight="false" outlineLevel="0" collapsed="false">
      <c r="C69" s="6" t="s">
        <v>67</v>
      </c>
      <c r="D69" s="6"/>
      <c r="E69" s="7" t="n">
        <v>1</v>
      </c>
      <c r="F69" s="7" t="n">
        <v>17813</v>
      </c>
      <c r="G69" s="7" t="n">
        <f aca="false">E69*F69</f>
        <v>17813</v>
      </c>
      <c r="H69" s="9" t="n">
        <f aca="false">IF(G69=0,"",G69/G109)</f>
        <v>0.159061685180555</v>
      </c>
    </row>
    <row r="70" customFormat="false" ht="15" hidden="false" customHeight="false" outlineLevel="0" collapsed="false">
      <c r="C70" s="6" t="s">
        <v>68</v>
      </c>
      <c r="D70" s="6"/>
      <c r="E70" s="7" t="n">
        <v>1</v>
      </c>
      <c r="F70" s="7" t="n">
        <v>8011</v>
      </c>
      <c r="G70" s="7" t="n">
        <f aca="false">E70*F70</f>
        <v>8011</v>
      </c>
      <c r="H70" s="9" t="n">
        <f aca="false">IF(G70=0,"",G70/G109)</f>
        <v>0.0715344501196557</v>
      </c>
    </row>
    <row r="71" customFormat="false" ht="15" hidden="false" customHeight="false" outlineLevel="0" collapsed="false">
      <c r="C71" s="6" t="s">
        <v>69</v>
      </c>
      <c r="D71" s="6"/>
      <c r="E71" s="7" t="n">
        <v>1</v>
      </c>
      <c r="F71" s="7" t="n">
        <v>8011</v>
      </c>
      <c r="G71" s="7" t="n">
        <f aca="false">E71*F71</f>
        <v>8011</v>
      </c>
      <c r="H71" s="9" t="n">
        <f aca="false">IF(G71=0,"",G71/G109)</f>
        <v>0.0715344501196557</v>
      </c>
    </row>
    <row r="72" customFormat="false" ht="15" hidden="false" customHeight="false" outlineLevel="0" collapsed="false">
      <c r="C72" s="12" t="s">
        <v>70</v>
      </c>
      <c r="D72" s="12"/>
      <c r="E72" s="12"/>
      <c r="F72" s="12"/>
      <c r="G72" s="12" t="n">
        <f aca="false">SUM(G69:G71)</f>
        <v>33835</v>
      </c>
      <c r="H72" s="13" t="n">
        <f aca="false">IF(G72=0,"",G72/G109)</f>
        <v>0.302130585419866</v>
      </c>
      <c r="I72" s="12"/>
    </row>
    <row r="74" customFormat="false" ht="15" hidden="false" customHeight="false" outlineLevel="0" collapsed="false">
      <c r="C74" s="3" t="s">
        <v>71</v>
      </c>
      <c r="G74" s="7" t="n">
        <f aca="false">111988-G72</f>
        <v>78153</v>
      </c>
      <c r="H74" s="9" t="n">
        <f aca="false">IF(G74=0,"",G74/G109)</f>
        <v>0.697869414580134</v>
      </c>
    </row>
    <row r="76" customFormat="false" ht="15" hidden="false" customHeight="false" outlineLevel="0" collapsed="false">
      <c r="C76" s="3" t="s">
        <v>72</v>
      </c>
      <c r="G76" s="7" t="n">
        <f aca="false">G18+G31+G66</f>
        <v>14208</v>
      </c>
      <c r="H76" s="9" t="n">
        <f aca="false">IF(G76=0,"",G76/G109)</f>
        <v>0.126870736150302</v>
      </c>
    </row>
    <row r="78" customFormat="false" ht="15" hidden="false" customHeight="false" outlineLevel="0" collapsed="false">
      <c r="C78" s="3" t="s">
        <v>73</v>
      </c>
      <c r="G78" s="7" t="n">
        <f aca="false">G72-G76-G37</f>
        <v>17377</v>
      </c>
      <c r="H78" s="9" t="n">
        <f aca="false">IF(G78=0,"",G78/G109)</f>
        <v>0.155168410901168</v>
      </c>
      <c r="I78" s="10" t="s">
        <v>74</v>
      </c>
    </row>
    <row r="80" customFormat="false" ht="15" hidden="false" customHeight="false" outlineLevel="0" collapsed="false">
      <c r="C80" s="4" t="s">
        <v>75</v>
      </c>
      <c r="D80" s="4"/>
    </row>
    <row r="81" customFormat="false" ht="15" hidden="false" customHeight="false" outlineLevel="0" collapsed="false">
      <c r="C81" s="6" t="s">
        <v>76</v>
      </c>
      <c r="D81" s="6"/>
      <c r="E81" s="6"/>
      <c r="F81" s="6"/>
      <c r="G81" s="6"/>
      <c r="H81" s="6"/>
      <c r="I81" s="6"/>
    </row>
    <row r="83" customFormat="false" ht="15" hidden="false" customHeight="false" outlineLevel="0" collapsed="false">
      <c r="C83" s="10" t="s">
        <v>77</v>
      </c>
      <c r="F83" s="7" t="n">
        <v>1000</v>
      </c>
      <c r="H83" s="10" t="s">
        <v>78</v>
      </c>
      <c r="I83" s="10" t="s">
        <v>79</v>
      </c>
    </row>
    <row r="84" customFormat="false" ht="15" hidden="false" customHeight="false" outlineLevel="0" collapsed="false">
      <c r="C84" s="10" t="s">
        <v>80</v>
      </c>
      <c r="F84" s="7" t="n">
        <v>1000</v>
      </c>
      <c r="H84" s="10" t="s">
        <v>78</v>
      </c>
      <c r="I84" s="10" t="s">
        <v>79</v>
      </c>
    </row>
    <row r="85" customFormat="false" ht="15" hidden="false" customHeight="false" outlineLevel="0" collapsed="false">
      <c r="C85" s="10" t="s">
        <v>81</v>
      </c>
      <c r="F85" s="7" t="n">
        <v>600</v>
      </c>
      <c r="H85" s="10" t="s">
        <v>78</v>
      </c>
      <c r="I85" s="10" t="s">
        <v>79</v>
      </c>
    </row>
    <row r="86" customFormat="false" ht="15" hidden="false" customHeight="false" outlineLevel="0" collapsed="false">
      <c r="C86" s="10" t="s">
        <v>82</v>
      </c>
      <c r="F86" s="7" t="n">
        <v>1400</v>
      </c>
      <c r="H86" s="10" t="s">
        <v>78</v>
      </c>
      <c r="I86" s="10" t="s">
        <v>79</v>
      </c>
    </row>
    <row r="87" customFormat="false" ht="15" hidden="false" customHeight="false" outlineLevel="0" collapsed="false">
      <c r="C87" s="10" t="s">
        <v>83</v>
      </c>
      <c r="F87" s="7" t="n">
        <v>400</v>
      </c>
      <c r="H87" s="10" t="s">
        <v>78</v>
      </c>
      <c r="I87" s="10" t="s">
        <v>79</v>
      </c>
    </row>
    <row r="88" customFormat="false" ht="15" hidden="false" customHeight="false" outlineLevel="0" collapsed="false">
      <c r="C88" s="10" t="s">
        <v>84</v>
      </c>
      <c r="F88" s="7" t="n">
        <v>425</v>
      </c>
      <c r="H88" s="10" t="s">
        <v>78</v>
      </c>
      <c r="I88" s="10" t="s">
        <v>79</v>
      </c>
    </row>
    <row r="89" customFormat="false" ht="15" hidden="false" customHeight="false" outlineLevel="0" collapsed="false">
      <c r="C89" s="10" t="s">
        <v>85</v>
      </c>
      <c r="F89" s="7" t="n">
        <v>330</v>
      </c>
      <c r="H89" s="10" t="s">
        <v>78</v>
      </c>
      <c r="I89" s="10" t="s">
        <v>79</v>
      </c>
    </row>
    <row r="90" customFormat="false" ht="15" hidden="false" customHeight="false" outlineLevel="0" collapsed="false">
      <c r="C90" s="3" t="s">
        <v>86</v>
      </c>
      <c r="G90" s="7" t="n">
        <f aca="false">SUM(F83:F89)</f>
        <v>5155</v>
      </c>
      <c r="H90" s="9" t="n">
        <f aca="false">IF(G90=0,"",G90/G109)</f>
        <v>0.0460317176840376</v>
      </c>
    </row>
    <row r="92" customFormat="false" ht="15" hidden="false" customHeight="false" outlineLevel="0" collapsed="false">
      <c r="C92" s="4" t="s">
        <v>87</v>
      </c>
      <c r="D92" s="4"/>
    </row>
    <row r="93" customFormat="false" ht="15" hidden="false" customHeight="false" outlineLevel="0" collapsed="false">
      <c r="C93" s="6" t="s">
        <v>88</v>
      </c>
      <c r="D93" s="6"/>
      <c r="E93" s="6"/>
      <c r="F93" s="6"/>
      <c r="G93" s="6"/>
      <c r="H93" s="6"/>
      <c r="I93" s="6"/>
    </row>
    <row r="95" customFormat="false" ht="15" hidden="false" customHeight="false" outlineLevel="0" collapsed="false">
      <c r="C95" s="10" t="s">
        <v>89</v>
      </c>
      <c r="F95" s="7" t="n">
        <v>500</v>
      </c>
      <c r="G95" s="7" t="n">
        <f aca="false">F95</f>
        <v>500</v>
      </c>
      <c r="H95" s="9" t="n">
        <f aca="false">IF(G95=0,"",G95/G109)</f>
        <v>0.00446476408186592</v>
      </c>
      <c r="I95" s="10" t="s">
        <v>90</v>
      </c>
    </row>
    <row r="96" customFormat="false" ht="15" hidden="false" customHeight="false" outlineLevel="0" collapsed="false">
      <c r="C96" s="10" t="s">
        <v>91</v>
      </c>
      <c r="F96" s="7" t="n">
        <v>80</v>
      </c>
      <c r="G96" s="7" t="n">
        <f aca="false">F96</f>
        <v>80</v>
      </c>
      <c r="H96" s="9" t="n">
        <f aca="false">IF(G96=0,"",G96/G109)</f>
        <v>0.000714362253098546</v>
      </c>
      <c r="I96" s="10" t="s">
        <v>92</v>
      </c>
    </row>
    <row r="97" customFormat="false" ht="15" hidden="false" customHeight="false" outlineLevel="0" collapsed="false">
      <c r="C97" s="10" t="s">
        <v>93</v>
      </c>
      <c r="F97" s="7" t="n">
        <v>154</v>
      </c>
      <c r="G97" s="7" t="n">
        <f aca="false">F97</f>
        <v>154</v>
      </c>
      <c r="H97" s="9" t="n">
        <f aca="false">IF(G97=0,"",G97/G109)</f>
        <v>0.0013751473372147</v>
      </c>
      <c r="I97" s="10" t="s">
        <v>94</v>
      </c>
    </row>
    <row r="98" customFormat="false" ht="15" hidden="false" customHeight="false" outlineLevel="0" collapsed="false">
      <c r="C98" s="17" t="s">
        <v>95</v>
      </c>
      <c r="I98" s="17" t="s">
        <v>96</v>
      </c>
    </row>
    <row r="99" customFormat="false" ht="15" hidden="false" customHeight="false" outlineLevel="0" collapsed="false">
      <c r="C99" s="17" t="s">
        <v>97</v>
      </c>
      <c r="I99" s="17" t="s">
        <v>98</v>
      </c>
    </row>
    <row r="100" customFormat="false" ht="15" hidden="false" customHeight="false" outlineLevel="0" collapsed="false">
      <c r="C100" s="10" t="s">
        <v>99</v>
      </c>
      <c r="F100" s="7" t="n">
        <v>650</v>
      </c>
      <c r="G100" s="7" t="n">
        <f aca="false">F100</f>
        <v>650</v>
      </c>
      <c r="H100" s="9" t="n">
        <f aca="false">IF(G100=0,"",G100/G109)</f>
        <v>0.00580419330642569</v>
      </c>
      <c r="I100" s="10" t="s">
        <v>100</v>
      </c>
    </row>
    <row r="101" customFormat="false" ht="15" hidden="false" customHeight="false" outlineLevel="0" collapsed="false">
      <c r="C101" s="10" t="s">
        <v>101</v>
      </c>
      <c r="F101" s="7" t="n">
        <v>292</v>
      </c>
      <c r="G101" s="7" t="n">
        <f aca="false">F101</f>
        <v>292</v>
      </c>
      <c r="H101" s="9" t="n">
        <f aca="false">IF(G101=0,"",G101/G109)</f>
        <v>0.00260742222380969</v>
      </c>
      <c r="I101" s="10" t="s">
        <v>102</v>
      </c>
    </row>
    <row r="102" customFormat="false" ht="15" hidden="false" customHeight="false" outlineLevel="0" collapsed="false">
      <c r="C102" s="10" t="s">
        <v>103</v>
      </c>
      <c r="F102" s="7" t="n">
        <v>1277</v>
      </c>
      <c r="G102" s="7" t="n">
        <f aca="false">F102</f>
        <v>1277</v>
      </c>
      <c r="H102" s="9" t="n">
        <f aca="false">IF(G102=0,"",G102/G109)</f>
        <v>0.0114030074650855</v>
      </c>
      <c r="I102" s="10" t="s">
        <v>104</v>
      </c>
    </row>
    <row r="103" customFormat="false" ht="15" hidden="false" customHeight="false" outlineLevel="0" collapsed="false">
      <c r="C103" s="3" t="s">
        <v>105</v>
      </c>
      <c r="G103" s="7" t="n">
        <f aca="false">SUM(F95:F102)</f>
        <v>2953</v>
      </c>
      <c r="H103" s="9" t="n">
        <f aca="false">IF(G103=0,"",G103/G109)</f>
        <v>0.0263688966675001</v>
      </c>
    </row>
    <row r="104" customFormat="false" ht="15" hidden="false" customHeight="false" outlineLevel="0" collapsed="false">
      <c r="C104" s="18" t="s">
        <v>106</v>
      </c>
      <c r="F104" s="7" t="n">
        <v>617</v>
      </c>
      <c r="H104" s="10" t="s">
        <v>78</v>
      </c>
      <c r="I104" s="10" t="s">
        <v>107</v>
      </c>
    </row>
    <row r="106" customFormat="false" ht="15" hidden="false" customHeight="false" outlineLevel="0" collapsed="false">
      <c r="C106" s="3" t="s">
        <v>108</v>
      </c>
    </row>
    <row r="107" customFormat="false" ht="15" hidden="false" customHeight="false" outlineLevel="0" collapsed="false">
      <c r="C107" s="10" t="s">
        <v>109</v>
      </c>
      <c r="G107" s="7" t="n">
        <v>97290</v>
      </c>
      <c r="H107" s="9" t="n">
        <f aca="false">IF(G107=0,"",G107/G109)</f>
        <v>0.86875379504947</v>
      </c>
    </row>
    <row r="108" customFormat="false" ht="15" hidden="false" customHeight="false" outlineLevel="0" collapsed="false">
      <c r="C108" s="10" t="s">
        <v>110</v>
      </c>
      <c r="G108" s="7" t="n">
        <v>490</v>
      </c>
      <c r="H108" s="9" t="n">
        <f aca="false">IF(G108=0,"",G108/G109)</f>
        <v>0.0043754688002286</v>
      </c>
    </row>
    <row r="109" customFormat="false" ht="15" hidden="false" customHeight="false" outlineLevel="0" collapsed="false">
      <c r="C109" s="3" t="s">
        <v>111</v>
      </c>
      <c r="G109" s="7" t="n">
        <f aca="false">G76+G107+G108</f>
        <v>111988</v>
      </c>
      <c r="H109" s="9" t="n">
        <f aca="false">IF(G109=0,"",G109/G109)</f>
        <v>1</v>
      </c>
    </row>
  </sheetData>
  <mergeCells count="60">
    <mergeCell ref="C4:I4"/>
    <mergeCell ref="C10:D10"/>
    <mergeCell ref="K10:M10"/>
    <mergeCell ref="C11:D11"/>
    <mergeCell ref="C12:D12"/>
    <mergeCell ref="C13:D13"/>
    <mergeCell ref="C14:D14"/>
    <mergeCell ref="C15:D15"/>
    <mergeCell ref="C16:D16"/>
    <mergeCell ref="C17:D17"/>
    <mergeCell ref="C18:D18"/>
    <mergeCell ref="C20:I20"/>
    <mergeCell ref="C22:I22"/>
    <mergeCell ref="K23:M23"/>
    <mergeCell ref="C24:D24"/>
    <mergeCell ref="C25:D25"/>
    <mergeCell ref="C26:D26"/>
    <mergeCell ref="C27:D27"/>
    <mergeCell ref="C28:D28"/>
    <mergeCell ref="C29:D29"/>
    <mergeCell ref="C30:D30"/>
    <mergeCell ref="C31:D31"/>
    <mergeCell ref="C33:D33"/>
    <mergeCell ref="C34:D34"/>
    <mergeCell ref="C35:D35"/>
    <mergeCell ref="C36:D36"/>
    <mergeCell ref="C37:D37"/>
    <mergeCell ref="C39:D39"/>
    <mergeCell ref="C40:I40"/>
    <mergeCell ref="C42:D42"/>
    <mergeCell ref="C43:D43"/>
    <mergeCell ref="C44:D44"/>
    <mergeCell ref="C45:D45"/>
    <mergeCell ref="C46:D46"/>
    <mergeCell ref="C47:D47"/>
    <mergeCell ref="C48:D48"/>
    <mergeCell ref="C49:D49"/>
    <mergeCell ref="C51:D51"/>
    <mergeCell ref="C52:I52"/>
    <mergeCell ref="C54:D54"/>
    <mergeCell ref="C55:D55"/>
    <mergeCell ref="C56:D56"/>
    <mergeCell ref="C57:D57"/>
    <mergeCell ref="C59:D59"/>
    <mergeCell ref="C60:D60"/>
    <mergeCell ref="C61:D61"/>
    <mergeCell ref="C62:D62"/>
    <mergeCell ref="C63:D63"/>
    <mergeCell ref="C64:D64"/>
    <mergeCell ref="C65:D65"/>
    <mergeCell ref="C66:D66"/>
    <mergeCell ref="C68:D68"/>
    <mergeCell ref="C69:D69"/>
    <mergeCell ref="C70:D70"/>
    <mergeCell ref="C71:D71"/>
    <mergeCell ref="C72:D72"/>
    <mergeCell ref="C80:D80"/>
    <mergeCell ref="C81:I81"/>
    <mergeCell ref="C92:D92"/>
    <mergeCell ref="C93:I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7:M75"/>
  <sheetViews>
    <sheetView showFormulas="false" showGridLines="true" showRowColHeaders="true" showZeros="true" rightToLeft="false" tabSelected="false" showOutlineSymbols="true" defaultGridColor="true" view="normal" topLeftCell="A49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.39"/>
    <col collapsed="false" customWidth="true" hidden="false" outlineLevel="0" max="5" min="5" style="0" width="52.9"/>
    <col collapsed="false" customWidth="true" hidden="false" outlineLevel="0" max="6" min="6" style="0" width="13"/>
    <col collapsed="false" customWidth="true" hidden="false" outlineLevel="0" max="7" min="7" style="0" width="17.1"/>
    <col collapsed="false" customWidth="true" hidden="false" outlineLevel="0" max="8" min="8" style="0" width="17.61"/>
    <col collapsed="false" customWidth="true" hidden="false" outlineLevel="0" max="9" min="9" style="0" width="15.6"/>
    <col collapsed="false" customWidth="true" hidden="false" outlineLevel="0" max="11" min="11" style="0" width="28"/>
    <col collapsed="false" customWidth="true" hidden="false" outlineLevel="0" max="12" min="12" style="0" width="15.6"/>
    <col collapsed="false" customWidth="true" hidden="false" outlineLevel="0" max="13" min="13" style="0" width="14"/>
    <col collapsed="false" customWidth="true" hidden="false" outlineLevel="0" max="14" min="14" style="0" width="29.1"/>
  </cols>
  <sheetData>
    <row r="7" customFormat="false" ht="24.45" hidden="false" customHeight="false" outlineLevel="0" collapsed="false">
      <c r="E7" s="19" t="s">
        <v>112</v>
      </c>
    </row>
    <row r="9" customFormat="false" ht="15" hidden="false" customHeight="false" outlineLevel="0" collapsed="false">
      <c r="E9" s="15" t="s">
        <v>113</v>
      </c>
      <c r="F9" s="15"/>
      <c r="G9" s="15"/>
      <c r="H9" s="15"/>
      <c r="I9" s="15"/>
      <c r="K9" s="5" t="s">
        <v>114</v>
      </c>
      <c r="L9" s="5"/>
      <c r="M9" s="5"/>
    </row>
    <row r="10" customFormat="false" ht="15" hidden="false" customHeight="false" outlineLevel="0" collapsed="false">
      <c r="E10" s="2" t="s">
        <v>115</v>
      </c>
      <c r="G10" s="2" t="s">
        <v>116</v>
      </c>
      <c r="H10" s="2" t="s">
        <v>117</v>
      </c>
      <c r="K10" s="10" t="s">
        <v>7</v>
      </c>
      <c r="M10" s="7" t="n">
        <f aca="false">'Detallado de la inversión.'!G76</f>
        <v>14208</v>
      </c>
    </row>
    <row r="11" customFormat="false" ht="15" hidden="false" customHeight="false" outlineLevel="0" collapsed="false">
      <c r="E11" s="10" t="s">
        <v>118</v>
      </c>
      <c r="G11" s="7" t="n">
        <f aca="false">'Detallado de la inversión.'!G76</f>
        <v>14208</v>
      </c>
      <c r="H11" s="9" t="n">
        <f aca="false">G11/G15</f>
        <v>0.126870736150302</v>
      </c>
      <c r="K11" s="10" t="s">
        <v>9</v>
      </c>
      <c r="M11" s="7" t="n">
        <f aca="false">'Detallado de la inversión.'!G78</f>
        <v>17377</v>
      </c>
    </row>
    <row r="12" customFormat="false" ht="15" hidden="false" customHeight="false" outlineLevel="0" collapsed="false">
      <c r="E12" s="10" t="s">
        <v>16</v>
      </c>
      <c r="G12" s="7" t="n">
        <f aca="false">'Detallado de la inversión.'!G107</f>
        <v>97290</v>
      </c>
      <c r="H12" s="9" t="n">
        <f aca="false">G12/G15</f>
        <v>0.86875379504947</v>
      </c>
      <c r="K12" s="10" t="s">
        <v>12</v>
      </c>
      <c r="M12" s="7" t="n">
        <f aca="false">'Detallado de la inversión.'!G72</f>
        <v>33835</v>
      </c>
    </row>
    <row r="13" customFormat="false" ht="15" hidden="false" customHeight="false" outlineLevel="0" collapsed="false">
      <c r="E13" s="10" t="s">
        <v>110</v>
      </c>
      <c r="G13" s="7" t="n">
        <f aca="false">'Detallado de la inversión.'!G108</f>
        <v>490</v>
      </c>
      <c r="H13" s="9" t="n">
        <f aca="false">G13/G15</f>
        <v>0.0043754688002286</v>
      </c>
      <c r="K13" s="10" t="s">
        <v>119</v>
      </c>
      <c r="M13" s="7" t="n">
        <f aca="false">'Detallado de la inversión.'!G69</f>
        <v>17813</v>
      </c>
    </row>
    <row r="14" customFormat="false" ht="15" hidden="false" customHeight="false" outlineLevel="0" collapsed="false">
      <c r="K14" s="10" t="s">
        <v>120</v>
      </c>
      <c r="M14" s="7" t="n">
        <f aca="false">'Detallado de la inversión.'!G70</f>
        <v>8011</v>
      </c>
    </row>
    <row r="15" customFormat="false" ht="15" hidden="false" customHeight="false" outlineLevel="0" collapsed="false">
      <c r="E15" s="20" t="s">
        <v>121</v>
      </c>
      <c r="G15" s="20" t="n">
        <f aca="false">'Detallado de la inversión.'!G109</f>
        <v>111988</v>
      </c>
      <c r="H15" s="20" t="n">
        <f aca="false">SUM(H11:H13)</f>
        <v>1</v>
      </c>
      <c r="K15" s="10" t="s">
        <v>122</v>
      </c>
      <c r="M15" s="7" t="n">
        <f aca="false">'Detallado de la inversión.'!G71</f>
        <v>8011</v>
      </c>
    </row>
    <row r="16" customFormat="false" ht="15" hidden="false" customHeight="false" outlineLevel="0" collapsed="false">
      <c r="E16" s="17" t="s">
        <v>123</v>
      </c>
      <c r="K16" s="10" t="s">
        <v>14</v>
      </c>
      <c r="M16" s="7" t="n">
        <f aca="false">'Detallado de la inversión.'!G74</f>
        <v>78153</v>
      </c>
    </row>
    <row r="17" customFormat="false" ht="15" hidden="false" customHeight="false" outlineLevel="0" collapsed="false">
      <c r="K17" s="10" t="s">
        <v>16</v>
      </c>
      <c r="M17" s="7" t="n">
        <f aca="false">'Detallado de la inversión.'!G107</f>
        <v>97290</v>
      </c>
    </row>
    <row r="18" customFormat="false" ht="15" hidden="false" customHeight="false" outlineLevel="0" collapsed="false">
      <c r="E18" s="15" t="s">
        <v>124</v>
      </c>
      <c r="F18" s="15"/>
      <c r="G18" s="15"/>
      <c r="H18" s="15"/>
      <c r="I18" s="15"/>
      <c r="K18" s="10" t="s">
        <v>18</v>
      </c>
      <c r="M18" s="7" t="n">
        <f aca="false">'Detallado de la inversión.'!G108</f>
        <v>490</v>
      </c>
    </row>
    <row r="19" customFormat="false" ht="15" hidden="false" customHeight="true" outlineLevel="0" collapsed="false">
      <c r="E19" s="16" t="s">
        <v>125</v>
      </c>
      <c r="F19" s="16"/>
      <c r="G19" s="16"/>
      <c r="H19" s="16"/>
      <c r="I19" s="16"/>
      <c r="K19" s="10" t="s">
        <v>20</v>
      </c>
      <c r="M19" s="8" t="n">
        <f aca="false">'Detallado de la inversión.'!G109</f>
        <v>111988</v>
      </c>
    </row>
    <row r="20" customFormat="false" ht="15" hidden="false" customHeight="false" outlineLevel="0" collapsed="false">
      <c r="E20" s="2" t="s">
        <v>1</v>
      </c>
      <c r="F20" s="2"/>
      <c r="G20" s="2" t="s">
        <v>2</v>
      </c>
      <c r="H20" s="2" t="s">
        <v>4</v>
      </c>
      <c r="I20" s="2" t="s">
        <v>126</v>
      </c>
      <c r="K20" s="10" t="s">
        <v>22</v>
      </c>
      <c r="M20" s="14" t="n">
        <f aca="false">M19/600000</f>
        <v>0.186646666666667</v>
      </c>
    </row>
    <row r="21" customFormat="false" ht="15" hidden="false" customHeight="false" outlineLevel="0" collapsed="false">
      <c r="E21" s="21" t="s">
        <v>127</v>
      </c>
      <c r="F21" s="21"/>
      <c r="G21" s="21"/>
      <c r="H21" s="21"/>
      <c r="I21" s="21"/>
    </row>
    <row r="22" customFormat="false" ht="15" hidden="false" customHeight="false" outlineLevel="0" collapsed="false">
      <c r="E22" s="22" t="str">
        <f aca="false">'Detallado de la inversión.'!C11</f>
        <v>Registro Mercantil + acta constitutiva</v>
      </c>
      <c r="F22" s="22"/>
      <c r="G22" s="7" t="n">
        <f aca="false">'Detallado de la inversión.'!E11</f>
        <v>1</v>
      </c>
      <c r="H22" s="7" t="n">
        <f aca="false">'Detallado de la inversión.'!F11</f>
        <v>1200</v>
      </c>
      <c r="I22" s="7" t="n">
        <f aca="false">'Detallado de la inversión.'!G11</f>
        <v>1200</v>
      </c>
      <c r="K22" s="15" t="s">
        <v>24</v>
      </c>
    </row>
    <row r="23" customFormat="false" ht="15" hidden="false" customHeight="false" outlineLevel="0" collapsed="false">
      <c r="E23" s="22" t="str">
        <f aca="false">'Detallado de la inversión.'!C12</f>
        <v>SENIAT — inscripción / trámites RIF</v>
      </c>
      <c r="F23" s="22"/>
      <c r="G23" s="7" t="n">
        <f aca="false">'Detallado de la inversión.'!E12</f>
        <v>1</v>
      </c>
      <c r="H23" s="7" t="n">
        <f aca="false">'Detallado de la inversión.'!F12</f>
        <v>600</v>
      </c>
      <c r="I23" s="7" t="n">
        <f aca="false">'Detallado de la inversión.'!G12</f>
        <v>600</v>
      </c>
      <c r="K23" s="10" t="s">
        <v>25</v>
      </c>
      <c r="M23" s="7" t="n">
        <f aca="false">'Detallado de la inversión.'!G90</f>
        <v>5155</v>
      </c>
    </row>
    <row r="24" customFormat="false" ht="15" hidden="false" customHeight="false" outlineLevel="0" collapsed="false">
      <c r="E24" s="22" t="str">
        <f aca="false">'Detallado de la inversión.'!C13</f>
        <v>Licencia / permisos municipales HQ</v>
      </c>
      <c r="F24" s="22"/>
      <c r="G24" s="7" t="n">
        <f aca="false">'Detallado de la inversión.'!E13</f>
        <v>1</v>
      </c>
      <c r="H24" s="7" t="n">
        <f aca="false">'Detallado de la inversión.'!F13</f>
        <v>1500</v>
      </c>
      <c r="I24" s="7" t="n">
        <f aca="false">'Detallado de la inversión.'!G13</f>
        <v>1500</v>
      </c>
      <c r="K24" s="10" t="s">
        <v>27</v>
      </c>
      <c r="M24" s="7" t="n">
        <f aca="false">'Detallado de la inversión.'!G103</f>
        <v>2953</v>
      </c>
    </row>
    <row r="25" customFormat="false" ht="26.85" hidden="false" customHeight="true" outlineLevel="0" collapsed="false">
      <c r="E25" s="22" t="str">
        <f aca="false">'Detallado de la inversión.'!C14</f>
        <v>Permiso bomberos (local operativo)</v>
      </c>
      <c r="F25" s="22"/>
      <c r="G25" s="7" t="n">
        <f aca="false">'Detallado de la inversión.'!E14</f>
        <v>1</v>
      </c>
      <c r="H25" s="7" t="n">
        <f aca="false">'Detallado de la inversión.'!F14</f>
        <v>1100</v>
      </c>
      <c r="I25" s="7" t="n">
        <f aca="false">'Detallado de la inversión.'!G14</f>
        <v>1100</v>
      </c>
      <c r="K25" s="16" t="s">
        <v>28</v>
      </c>
      <c r="L25" s="16"/>
      <c r="M25" s="16"/>
    </row>
    <row r="26" customFormat="false" ht="15" hidden="false" customHeight="false" outlineLevel="0" collapsed="false">
      <c r="E26" s="22" t="str">
        <f aca="false">'Detallado de la inversión.'!C15</f>
        <v>Apertura cuenta bancaria empresa</v>
      </c>
      <c r="F26" s="22"/>
      <c r="G26" s="7" t="n">
        <f aca="false">'Detallado de la inversión.'!E15</f>
        <v>1</v>
      </c>
      <c r="H26" s="7" t="n">
        <f aca="false">'Detallado de la inversión.'!F15</f>
        <v>100</v>
      </c>
      <c r="I26" s="7" t="n">
        <f aca="false">'Detallado de la inversión.'!G15</f>
        <v>100</v>
      </c>
    </row>
    <row r="27" customFormat="false" ht="15" hidden="false" customHeight="false" outlineLevel="0" collapsed="false">
      <c r="E27" s="22" t="str">
        <f aca="false">'Detallado de la inversión.'!C16</f>
        <v>Sello digital + factura digital SENIAT</v>
      </c>
      <c r="F27" s="22"/>
      <c r="G27" s="7" t="n">
        <f aca="false">'Detallado de la inversión.'!E16</f>
        <v>1</v>
      </c>
      <c r="H27" s="7" t="n">
        <f aca="false">'Detallado de la inversión.'!F16</f>
        <v>200</v>
      </c>
      <c r="I27" s="7" t="n">
        <f aca="false">'Detallado de la inversión.'!G16</f>
        <v>200</v>
      </c>
    </row>
    <row r="28" customFormat="false" ht="15" hidden="false" customHeight="false" outlineLevel="0" collapsed="false">
      <c r="E28" s="22" t="str">
        <f aca="false">'Detallado de la inversión.'!C17</f>
        <v>Registro marca SAPI (paralelo)</v>
      </c>
      <c r="F28" s="22"/>
      <c r="G28" s="7" t="n">
        <f aca="false">'Detallado de la inversión.'!E17</f>
        <v>1</v>
      </c>
      <c r="H28" s="7" t="n">
        <f aca="false">'Detallado de la inversión.'!F17</f>
        <v>350</v>
      </c>
      <c r="I28" s="7" t="n">
        <f aca="false">'Detallado de la inversión.'!G17</f>
        <v>350</v>
      </c>
    </row>
    <row r="29" customFormat="false" ht="15" hidden="false" customHeight="false" outlineLevel="0" collapsed="false">
      <c r="E29" s="23" t="str">
        <f aca="false">'Detallado de la inversión.'!C18</f>
        <v>Subtotal constitución empresa</v>
      </c>
      <c r="F29" s="23"/>
      <c r="I29" s="12" t="n">
        <f aca="false">'Detallado de la inversión.'!G18</f>
        <v>5050</v>
      </c>
    </row>
    <row r="31" customFormat="false" ht="15" hidden="false" customHeight="false" outlineLevel="0" collapsed="false">
      <c r="E31" s="21" t="s">
        <v>128</v>
      </c>
      <c r="F31" s="21"/>
      <c r="G31" s="21"/>
      <c r="H31" s="21"/>
      <c r="I31" s="21"/>
    </row>
    <row r="32" customFormat="false" ht="15" hidden="false" customHeight="false" outlineLevel="0" collapsed="false">
      <c r="E32" s="22" t="str">
        <f aca="false">'Detallado de la inversión.'!C25</f>
        <v>Website landing + dominio</v>
      </c>
      <c r="F32" s="22"/>
      <c r="G32" s="7" t="n">
        <f aca="false">'Detallado de la inversión.'!E25</f>
        <v>1</v>
      </c>
      <c r="H32" s="7" t="n">
        <f aca="false">'Detallado de la inversión.'!F25</f>
        <v>800</v>
      </c>
      <c r="I32" s="7" t="n">
        <f aca="false">'Detallado de la inversión.'!G25</f>
        <v>800</v>
      </c>
    </row>
    <row r="33" customFormat="false" ht="15" hidden="false" customHeight="false" outlineLevel="0" collapsed="false">
      <c r="E33" s="22" t="str">
        <f aca="false">'Detallado de la inversión.'!C26</f>
        <v>Brochures y material impreso B2B</v>
      </c>
      <c r="F33" s="22"/>
      <c r="G33" s="7" t="n">
        <f aca="false">'Detallado de la inversión.'!E26</f>
        <v>1</v>
      </c>
      <c r="H33" s="7" t="n">
        <f aca="false">'Detallado de la inversión.'!F26</f>
        <v>400</v>
      </c>
      <c r="I33" s="7" t="n">
        <f aca="false">'Detallado de la inversión.'!G26</f>
        <v>400</v>
      </c>
    </row>
    <row r="34" customFormat="false" ht="15" hidden="false" customHeight="false" outlineLevel="0" collapsed="false">
      <c r="E34" s="22" t="str">
        <f aca="false">'Detallado de la inversión.'!C27</f>
        <v>Tablets demo farmacia</v>
      </c>
      <c r="F34" s="22"/>
      <c r="G34" s="7" t="n">
        <f aca="false">'Detallado de la inversión.'!E27</f>
        <v>2</v>
      </c>
      <c r="H34" s="7" t="n">
        <f aca="false">'Detallado de la inversión.'!F27</f>
        <v>350</v>
      </c>
      <c r="I34" s="7" t="n">
        <f aca="false">'Detallado de la inversión.'!G27</f>
        <v>700</v>
      </c>
    </row>
    <row r="35" customFormat="false" ht="15" hidden="false" customHeight="false" outlineLevel="0" collapsed="false">
      <c r="E35" s="22" t="str">
        <f aca="false">'Detallado de la inversión.'!C28</f>
        <v>Visitas comerciales pre-Day-D</v>
      </c>
      <c r="F35" s="22"/>
      <c r="G35" s="7" t="n">
        <f aca="false">'Detallado de la inversión.'!E28</f>
        <v>1</v>
      </c>
      <c r="H35" s="7" t="n">
        <f aca="false">'Detallado de la inversión.'!F28</f>
        <v>500</v>
      </c>
      <c r="I35" s="7" t="n">
        <f aca="false">'Detallado de la inversión.'!G28</f>
        <v>500</v>
      </c>
    </row>
    <row r="36" customFormat="false" ht="15" hidden="false" customHeight="false" outlineLevel="0" collapsed="false">
      <c r="E36" s="22" t="str">
        <f aca="false">'Detallado de la inversión.'!C29</f>
        <v>Reservas operativas primer mes</v>
      </c>
      <c r="F36" s="22"/>
      <c r="G36" s="7" t="n">
        <f aca="false">'Detallado de la inversión.'!E29</f>
        <v>1</v>
      </c>
      <c r="H36" s="7" t="n">
        <f aca="false">'Detallado de la inversión.'!F29</f>
        <v>608</v>
      </c>
      <c r="I36" s="7" t="n">
        <f aca="false">'Detallado de la inversión.'!G29</f>
        <v>608</v>
      </c>
    </row>
    <row r="37" customFormat="false" ht="15" hidden="false" customHeight="false" outlineLevel="0" collapsed="false">
      <c r="E37" s="22" t="str">
        <f aca="false">'Detallado de la inversión.'!C30</f>
        <v>Video pitch B2B farmacia (one-shot)</v>
      </c>
      <c r="F37" s="22"/>
      <c r="G37" s="7" t="n">
        <f aca="false">'Detallado de la inversión.'!E30</f>
        <v>1</v>
      </c>
      <c r="H37" s="7" t="n">
        <f aca="false">'Detallado de la inversión.'!F30</f>
        <v>800</v>
      </c>
      <c r="I37" s="7" t="n">
        <f aca="false">'Detallado de la inversión.'!G30</f>
        <v>800</v>
      </c>
    </row>
    <row r="38" customFormat="false" ht="15" hidden="false" customHeight="false" outlineLevel="0" collapsed="false">
      <c r="E38" s="23" t="str">
        <f aca="false">'Detallado de la inversión.'!C31</f>
        <v>Subtotal intro mercado Lean</v>
      </c>
      <c r="F38" s="23"/>
      <c r="I38" s="12" t="n">
        <f aca="false">'Detallado de la inversión.'!G31</f>
        <v>3808</v>
      </c>
    </row>
    <row r="40" customFormat="false" ht="15" hidden="false" customHeight="false" outlineLevel="0" collapsed="false">
      <c r="E40" s="21" t="s">
        <v>129</v>
      </c>
      <c r="F40" s="21"/>
      <c r="G40" s="21"/>
      <c r="H40" s="21"/>
      <c r="I40" s="21"/>
    </row>
    <row r="41" customFormat="false" ht="15" hidden="false" customHeight="false" outlineLevel="0" collapsed="false">
      <c r="E41" s="22" t="str">
        <f aca="false">'Detallado de la inversión.'!C34</f>
        <v>Meta Ads pre-Day-D</v>
      </c>
      <c r="F41" s="22"/>
      <c r="G41" s="7" t="n">
        <f aca="false">'Detallado de la inversión.'!E34</f>
        <v>3</v>
      </c>
      <c r="H41" s="7" t="n">
        <f aca="false">'Detallado de la inversión.'!F34</f>
        <v>400</v>
      </c>
      <c r="I41" s="7" t="n">
        <f aca="false">'Detallado de la inversión.'!G34</f>
        <v>1200</v>
      </c>
    </row>
    <row r="42" customFormat="false" ht="15" hidden="false" customHeight="false" outlineLevel="0" collapsed="false">
      <c r="E42" s="22" t="str">
        <f aca="false">'Detallado de la inversión.'!C35</f>
        <v>Material POP / señalética</v>
      </c>
      <c r="F42" s="22"/>
      <c r="G42" s="7" t="n">
        <f aca="false">'Detallado de la inversión.'!E35</f>
        <v>1</v>
      </c>
      <c r="H42" s="7" t="n">
        <f aca="false">'Detallado de la inversión.'!F35</f>
        <v>600</v>
      </c>
      <c r="I42" s="7" t="n">
        <f aca="false">'Detallado de la inversión.'!G35</f>
        <v>600</v>
      </c>
    </row>
    <row r="43" customFormat="false" ht="15" hidden="false" customHeight="false" outlineLevel="0" collapsed="false">
      <c r="E43" s="22" t="str">
        <f aca="false">'Detallado de la inversión.'!C36</f>
        <v>Demos B2B adicionales</v>
      </c>
      <c r="F43" s="22"/>
      <c r="G43" s="7" t="n">
        <f aca="false">'Detallado de la inversión.'!E36</f>
        <v>1</v>
      </c>
      <c r="H43" s="7" t="n">
        <f aca="false">'Detallado de la inversión.'!F36</f>
        <v>450</v>
      </c>
      <c r="I43" s="7" t="n">
        <f aca="false">'Detallado de la inversión.'!G36</f>
        <v>450</v>
      </c>
    </row>
    <row r="44" customFormat="false" ht="15" hidden="false" customHeight="false" outlineLevel="0" collapsed="false">
      <c r="E44" s="23" t="str">
        <f aca="false">'Detallado de la inversión.'!C37</f>
        <v>Subtotal marketing pre-lanzamiento Lean</v>
      </c>
      <c r="F44" s="23"/>
      <c r="I44" s="12" t="n">
        <f aca="false">'Detallado de la inversión.'!G37</f>
        <v>2250</v>
      </c>
    </row>
    <row r="46" customFormat="false" ht="15" hidden="false" customHeight="false" outlineLevel="0" collapsed="false">
      <c r="E46" s="21" t="s">
        <v>130</v>
      </c>
      <c r="F46" s="21"/>
      <c r="G46" s="21"/>
      <c r="H46" s="21"/>
      <c r="I46" s="21"/>
    </row>
    <row r="47" customFormat="false" ht="15" hidden="false" customHeight="false" outlineLevel="0" collapsed="false">
      <c r="E47" s="22" t="str">
        <f aca="false">'Detallado de la inversión.'!C42</f>
        <v>Founder CEO/CTO (1000/mes)</v>
      </c>
      <c r="F47" s="22"/>
      <c r="G47" s="7" t="n">
        <f aca="false">'Detallado de la inversión.'!E42</f>
        <v>3</v>
      </c>
      <c r="H47" s="7" t="n">
        <f aca="false">'Detallado de la inversión.'!F42</f>
        <v>1000</v>
      </c>
      <c r="I47" s="7" t="n">
        <f aca="false">'Detallado de la inversión.'!G42</f>
        <v>3000</v>
      </c>
    </row>
    <row r="48" customFormat="false" ht="15" hidden="false" customHeight="false" outlineLevel="0" collapsed="false">
      <c r="E48" s="22" t="str">
        <f aca="false">'Detallado de la inversión.'!C43</f>
        <v>Co-CEO Head Sales&amp;Ops (1000/mes)</v>
      </c>
      <c r="F48" s="22"/>
      <c r="G48" s="7" t="n">
        <f aca="false">'Detallado de la inversión.'!E43</f>
        <v>3</v>
      </c>
      <c r="H48" s="7" t="n">
        <f aca="false">'Detallado de la inversión.'!F43</f>
        <v>1000</v>
      </c>
      <c r="I48" s="7" t="n">
        <f aca="false">'Detallado de la inversión.'!G43</f>
        <v>3000</v>
      </c>
    </row>
    <row r="49" customFormat="false" ht="15" hidden="false" customHeight="false" outlineLevel="0" collapsed="false">
      <c r="E49" s="22" t="str">
        <f aca="false">'Detallado de la inversión.'!C44</f>
        <v>Dev junior (Flutter/Laravel) (600/mes)</v>
      </c>
      <c r="F49" s="22"/>
      <c r="G49" s="7" t="n">
        <f aca="false">'Detallado de la inversión.'!E44</f>
        <v>3</v>
      </c>
      <c r="H49" s="7" t="n">
        <f aca="false">'Detallado de la inversión.'!F44</f>
        <v>600</v>
      </c>
      <c r="I49" s="7" t="n">
        <f aca="false">'Detallado de la inversión.'!G44</f>
        <v>1800</v>
      </c>
    </row>
    <row r="50" customFormat="false" ht="15" hidden="false" customHeight="false" outlineLevel="0" collapsed="false">
      <c r="E50" s="22" t="str">
        <f aca="false">'Detallado de la inversión.'!C45</f>
        <v>4× Sales B2B (350/mes c/u base)</v>
      </c>
      <c r="F50" s="22"/>
      <c r="G50" s="7" t="n">
        <f aca="false">'Detallado de la inversión.'!E45</f>
        <v>3</v>
      </c>
      <c r="H50" s="7" t="n">
        <f aca="false">'Detallado de la inversión.'!F45</f>
        <v>1400</v>
      </c>
      <c r="I50" s="7" t="n">
        <f aca="false">'Detallado de la inversión.'!G45</f>
        <v>4200</v>
      </c>
    </row>
    <row r="51" customFormat="false" ht="15" hidden="false" customHeight="false" outlineLevel="0" collapsed="false">
      <c r="E51" s="22" t="str">
        <f aca="false">'Detallado de la inversión.'!C46</f>
        <v>CS + Community Manager (400/mes)</v>
      </c>
      <c r="F51" s="22"/>
      <c r="G51" s="7" t="n">
        <f aca="false">'Detallado de la inversión.'!E46</f>
        <v>3</v>
      </c>
      <c r="H51" s="7" t="n">
        <f aca="false">'Detallado de la inversión.'!F46</f>
        <v>400</v>
      </c>
      <c r="I51" s="7" t="n">
        <f aca="false">'Detallado de la inversión.'!G46</f>
        <v>1200</v>
      </c>
    </row>
    <row r="52" customFormat="false" ht="15" hidden="false" customHeight="false" outlineLevel="0" collapsed="false">
      <c r="E52" s="22" t="str">
        <f aca="false">'Detallado de la inversión.'!C47</f>
        <v>Herramientas IA (425/mes)</v>
      </c>
      <c r="F52" s="22"/>
      <c r="G52" s="7" t="n">
        <f aca="false">'Detallado de la inversión.'!E47</f>
        <v>3</v>
      </c>
      <c r="H52" s="7" t="n">
        <f aca="false">'Detallado de la inversión.'!F47</f>
        <v>425</v>
      </c>
      <c r="I52" s="7" t="n">
        <f aca="false">'Detallado de la inversión.'!G47</f>
        <v>1275</v>
      </c>
    </row>
    <row r="53" customFormat="false" ht="15" hidden="false" customHeight="false" outlineLevel="0" collapsed="false">
      <c r="E53" s="22" t="str">
        <f aca="false">'Detallado de la inversión.'!C48</f>
        <v>Contador + Abogado (330/mes)</v>
      </c>
      <c r="F53" s="22"/>
      <c r="G53" s="7" t="n">
        <f aca="false">'Detallado de la inversión.'!E48</f>
        <v>3</v>
      </c>
      <c r="H53" s="7" t="n">
        <f aca="false">'Detallado de la inversión.'!F48</f>
        <v>330</v>
      </c>
      <c r="I53" s="7" t="n">
        <f aca="false">'Detallado de la inversión.'!G48</f>
        <v>990</v>
      </c>
    </row>
    <row r="54" customFormat="false" ht="15" hidden="false" customHeight="false" outlineLevel="0" collapsed="false">
      <c r="E54" s="23" t="str">
        <f aca="false">'Detallado de la inversión.'!C49</f>
        <v>Subtotal mano de obra Fase 0 (3 meses)</v>
      </c>
      <c r="F54" s="23"/>
      <c r="I54" s="12" t="n">
        <f aca="false">'Detallado de la inversión.'!G49</f>
        <v>15465</v>
      </c>
    </row>
    <row r="56" customFormat="false" ht="15" hidden="false" customHeight="false" outlineLevel="0" collapsed="false">
      <c r="E56" s="24" t="s">
        <v>131</v>
      </c>
      <c r="F56" s="24"/>
      <c r="G56" s="24"/>
      <c r="H56" s="24"/>
      <c r="I56" s="24"/>
    </row>
    <row r="57" customFormat="false" ht="15" hidden="false" customHeight="false" outlineLevel="0" collapsed="false">
      <c r="E57" s="25" t="str">
        <f aca="false">'Detallado de la inversión.'!C54</f>
        <v>Visitas comerciales Valencia (combustible / terceros)</v>
      </c>
      <c r="F57" s="25"/>
      <c r="G57" s="26" t="n">
        <f aca="false">'Detallado de la inversión.'!E54</f>
        <v>3</v>
      </c>
      <c r="H57" s="26" t="n">
        <f aca="false">'Detallado de la inversión.'!F54</f>
        <v>167</v>
      </c>
      <c r="I57" s="26" t="n">
        <f aca="false">'Detallado de la inversión.'!G54</f>
        <v>501</v>
      </c>
    </row>
    <row r="58" customFormat="false" ht="15" hidden="false" customHeight="false" outlineLevel="0" collapsed="false">
      <c r="E58" s="25" t="str">
        <f aca="false">'Detallado de la inversión.'!C55</f>
        <v>Logística material demo (tablets, POP)</v>
      </c>
      <c r="F58" s="25"/>
      <c r="G58" s="26" t="n">
        <f aca="false">'Detallado de la inversión.'!E55</f>
        <v>1</v>
      </c>
      <c r="H58" s="26" t="n">
        <f aca="false">'Detallado de la inversión.'!F55</f>
        <v>200</v>
      </c>
      <c r="I58" s="26" t="n">
        <f aca="false">'Detallado de la inversión.'!G55</f>
        <v>200</v>
      </c>
    </row>
    <row r="59" customFormat="false" ht="15" hidden="false" customHeight="false" outlineLevel="0" collapsed="false">
      <c r="E59" s="25" t="str">
        <f aca="false">'Detallado de la inversión.'!C56</f>
        <v>Gira medios / eventos farmacia (opcional Lean)</v>
      </c>
      <c r="F59" s="25"/>
      <c r="G59" s="26" t="n">
        <f aca="false">'Detallado de la inversión.'!E56</f>
        <v>1</v>
      </c>
      <c r="H59" s="26" t="n">
        <f aca="false">'Detallado de la inversión.'!F56</f>
        <v>350</v>
      </c>
      <c r="I59" s="26" t="n">
        <f aca="false">'Detallado de la inversión.'!G56</f>
        <v>350</v>
      </c>
    </row>
    <row r="60" customFormat="false" ht="15" hidden="false" customHeight="false" outlineLevel="0" collapsed="false">
      <c r="E60" s="27" t="str">
        <f aca="false">'Detallado de la inversión.'!C57</f>
        <v>Subtotal transporte referencia Fase 0</v>
      </c>
      <c r="F60" s="27"/>
      <c r="I60" s="26" t="n">
        <f aca="false">'Detallado de la inversión.'!G57</f>
        <v>1051</v>
      </c>
    </row>
    <row r="62" customFormat="false" ht="15" hidden="false" customHeight="false" outlineLevel="0" collapsed="false">
      <c r="E62" s="21" t="s">
        <v>132</v>
      </c>
      <c r="F62" s="21"/>
      <c r="G62" s="21"/>
      <c r="H62" s="21"/>
      <c r="I62" s="21"/>
    </row>
    <row r="63" customFormat="false" ht="15" hidden="false" customHeight="false" outlineLevel="0" collapsed="false">
      <c r="E63" s="22" t="str">
        <f aca="false">'Detallado de la inversión.'!C60</f>
        <v>Depósito + amueblado HQ casa</v>
      </c>
      <c r="F63" s="22"/>
      <c r="G63" s="7" t="n">
        <f aca="false">'Detallado de la inversión.'!E60</f>
        <v>1</v>
      </c>
      <c r="H63" s="7" t="n">
        <f aca="false">'Detallado de la inversión.'!F60</f>
        <v>1250</v>
      </c>
      <c r="I63" s="7" t="n">
        <f aca="false">'Detallado de la inversión.'!G60</f>
        <v>1250</v>
      </c>
    </row>
    <row r="64" customFormat="false" ht="15" hidden="false" customHeight="false" outlineLevel="0" collapsed="false">
      <c r="E64" s="22" t="str">
        <f aca="false">'Detallado de la inversión.'!C61</f>
        <v>Adecuación HQ (pintura, señalética)</v>
      </c>
      <c r="F64" s="22"/>
      <c r="G64" s="7" t="n">
        <f aca="false">'Detallado de la inversión.'!E61</f>
        <v>1</v>
      </c>
      <c r="H64" s="7" t="n">
        <f aca="false">'Detallado de la inversión.'!F61</f>
        <v>400</v>
      </c>
      <c r="I64" s="7" t="n">
        <f aca="false">'Detallado de la inversión.'!G61</f>
        <v>400</v>
      </c>
    </row>
    <row r="65" customFormat="false" ht="15" hidden="false" customHeight="false" outlineLevel="0" collapsed="false">
      <c r="E65" s="22" t="str">
        <f aca="false">'Detallado de la inversión.'!C62</f>
        <v>PC recepción / ventas</v>
      </c>
      <c r="F65" s="22"/>
      <c r="G65" s="7" t="n">
        <f aca="false">'Detallado de la inversión.'!E62</f>
        <v>1</v>
      </c>
      <c r="H65" s="7" t="n">
        <f aca="false">'Detallado de la inversión.'!F62</f>
        <v>800</v>
      </c>
      <c r="I65" s="7" t="n">
        <f aca="false">'Detallado de la inversión.'!G62</f>
        <v>800</v>
      </c>
    </row>
    <row r="66" customFormat="false" ht="15" hidden="false" customHeight="false" outlineLevel="0" collapsed="false">
      <c r="E66" s="22" t="str">
        <f aca="false">'Detallado de la inversión.'!C63</f>
        <v>PC administración</v>
      </c>
      <c r="F66" s="22"/>
      <c r="G66" s="7" t="n">
        <f aca="false">'Detallado de la inversión.'!E63</f>
        <v>1</v>
      </c>
      <c r="H66" s="7" t="n">
        <f aca="false">'Detallado de la inversión.'!F63</f>
        <v>850</v>
      </c>
      <c r="I66" s="7" t="n">
        <f aca="false">'Detallado de la inversión.'!G63</f>
        <v>850</v>
      </c>
    </row>
    <row r="67" customFormat="false" ht="15" hidden="false" customHeight="false" outlineLevel="0" collapsed="false">
      <c r="E67" s="22" t="str">
        <f aca="false">'Detallado de la inversión.'!C64</f>
        <v>PC desarrollo</v>
      </c>
      <c r="F67" s="22"/>
      <c r="G67" s="7" t="n">
        <f aca="false">'Detallado de la inversión.'!E64</f>
        <v>1</v>
      </c>
      <c r="H67" s="7" t="n">
        <f aca="false">'Detallado de la inversión.'!F64</f>
        <v>950</v>
      </c>
      <c r="I67" s="7" t="n">
        <f aca="false">'Detallado de la inversión.'!G64</f>
        <v>950</v>
      </c>
    </row>
    <row r="68" customFormat="false" ht="15" hidden="false" customHeight="false" outlineLevel="0" collapsed="false">
      <c r="E68" s="22" t="str">
        <f aca="false">'Detallado de la inversión.'!C65</f>
        <v>PC puesto flexible</v>
      </c>
      <c r="F68" s="22"/>
      <c r="G68" s="7" t="n">
        <f aca="false">'Detallado de la inversión.'!E65</f>
        <v>1</v>
      </c>
      <c r="H68" s="7" t="n">
        <f aca="false">'Detallado de la inversión.'!F65</f>
        <v>1100</v>
      </c>
      <c r="I68" s="7" t="n">
        <f aca="false">'Detallado de la inversión.'!G65</f>
        <v>1100</v>
      </c>
    </row>
    <row r="69" customFormat="false" ht="15" hidden="false" customHeight="false" outlineLevel="0" collapsed="false">
      <c r="E69" s="23" t="str">
        <f aca="false">'Detallado de la inversión.'!C66</f>
        <v>Subtotal HQ y CapEx</v>
      </c>
      <c r="F69" s="23"/>
      <c r="I69" s="12" t="n">
        <f aca="false">'Detallado de la inversión.'!G66</f>
        <v>5350</v>
      </c>
    </row>
    <row r="71" customFormat="false" ht="15" hidden="false" customHeight="false" outlineLevel="0" collapsed="false">
      <c r="E71" s="18" t="s">
        <v>133</v>
      </c>
      <c r="F71" s="18"/>
      <c r="G71" s="18"/>
      <c r="H71" s="18"/>
      <c r="I71" s="18"/>
    </row>
    <row r="73" customFormat="false" ht="15" hidden="false" customHeight="false" outlineLevel="0" collapsed="false">
      <c r="E73" s="3" t="s">
        <v>134</v>
      </c>
      <c r="F73" s="3"/>
      <c r="I73" s="7" t="n">
        <f aca="false">'Detallado de la inversión.'!G78</f>
        <v>17377</v>
      </c>
    </row>
    <row r="75" customFormat="false" ht="15" hidden="false" customHeight="false" outlineLevel="0" collapsed="false">
      <c r="E75" s="20" t="s">
        <v>135</v>
      </c>
      <c r="F75" s="20"/>
      <c r="I75" s="20" t="n">
        <f aca="false">'Detallado de la inversión.'!G72</f>
        <v>33835</v>
      </c>
    </row>
  </sheetData>
  <mergeCells count="53">
    <mergeCell ref="E9:I9"/>
    <mergeCell ref="K9:M9"/>
    <mergeCell ref="E18:I18"/>
    <mergeCell ref="E19:I19"/>
    <mergeCell ref="E20:F20"/>
    <mergeCell ref="E21:I21"/>
    <mergeCell ref="E22:F22"/>
    <mergeCell ref="E23:F23"/>
    <mergeCell ref="E24:F24"/>
    <mergeCell ref="E25:F25"/>
    <mergeCell ref="K25:M25"/>
    <mergeCell ref="E26:F26"/>
    <mergeCell ref="E27:F27"/>
    <mergeCell ref="E28:F28"/>
    <mergeCell ref="E29:F29"/>
    <mergeCell ref="E31:I31"/>
    <mergeCell ref="E32:F32"/>
    <mergeCell ref="E33:F33"/>
    <mergeCell ref="E34:F34"/>
    <mergeCell ref="E35:F35"/>
    <mergeCell ref="E36:F36"/>
    <mergeCell ref="E37:F37"/>
    <mergeCell ref="E38:F38"/>
    <mergeCell ref="E40:I40"/>
    <mergeCell ref="E41:F41"/>
    <mergeCell ref="E42:F42"/>
    <mergeCell ref="E43:F43"/>
    <mergeCell ref="E44:F44"/>
    <mergeCell ref="E46:I46"/>
    <mergeCell ref="E47:F47"/>
    <mergeCell ref="E48:F48"/>
    <mergeCell ref="E49:F49"/>
    <mergeCell ref="E50:F50"/>
    <mergeCell ref="E51:F51"/>
    <mergeCell ref="E52:F52"/>
    <mergeCell ref="E53:F53"/>
    <mergeCell ref="E54:F54"/>
    <mergeCell ref="E56:I56"/>
    <mergeCell ref="E57:F57"/>
    <mergeCell ref="E58:F58"/>
    <mergeCell ref="E59:F59"/>
    <mergeCell ref="E60:F60"/>
    <mergeCell ref="E62:I62"/>
    <mergeCell ref="E63:F63"/>
    <mergeCell ref="E64:F64"/>
    <mergeCell ref="E65:F65"/>
    <mergeCell ref="E66:F66"/>
    <mergeCell ref="E67:F67"/>
    <mergeCell ref="E68:F68"/>
    <mergeCell ref="E69:F69"/>
    <mergeCell ref="E71:I71"/>
    <mergeCell ref="E73:F73"/>
    <mergeCell ref="E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M69"/>
  <sheetViews>
    <sheetView showFormulas="false" showGridLines="true" showRowColHeaders="true" showZeros="true" rightToLeft="false" tabSelected="false" showOutlineSymbols="true" defaultGridColor="true" view="normal" topLeftCell="A58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5" min="5" style="0" width="14.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.7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4"/>
  </cols>
  <sheetData>
    <row r="1" customFormat="false" ht="88.8" hidden="false" customHeight="true" outlineLevel="0" collapsed="false">
      <c r="E1" s="28" t="s">
        <v>136</v>
      </c>
      <c r="F1" s="28"/>
      <c r="G1" s="28"/>
      <c r="H1" s="28"/>
      <c r="I1" s="28"/>
      <c r="L1" s="29" t="s">
        <v>137</v>
      </c>
    </row>
    <row r="2" customFormat="false" ht="26.85" hidden="false" customHeight="true" outlineLevel="0" collapsed="false">
      <c r="L2" s="16" t="s">
        <v>138</v>
      </c>
      <c r="M2" s="16"/>
    </row>
    <row r="3" customFormat="false" ht="39.55" hidden="false" customHeight="true" outlineLevel="0" collapsed="false">
      <c r="E3" s="16" t="s">
        <v>139</v>
      </c>
      <c r="F3" s="16"/>
      <c r="G3" s="16"/>
      <c r="H3" s="16"/>
      <c r="I3" s="16"/>
      <c r="L3" s="10" t="s">
        <v>140</v>
      </c>
      <c r="M3" s="7" t="n">
        <f aca="false">'Detallado de la inversión.'!G66</f>
        <v>5350</v>
      </c>
    </row>
    <row r="4" customFormat="false" ht="15" hidden="false" customHeight="false" outlineLevel="0" collapsed="false">
      <c r="L4" s="10" t="s">
        <v>141</v>
      </c>
      <c r="M4" s="9" t="n">
        <f aca="false">M3/'Detallado de la inversión.'!G109</f>
        <v>0.0477729756759653</v>
      </c>
    </row>
    <row r="5" customFormat="false" ht="15" hidden="false" customHeight="false" outlineLevel="0" collapsed="false">
      <c r="E5" s="2" t="s">
        <v>1</v>
      </c>
      <c r="F5" s="2"/>
      <c r="G5" s="2" t="s">
        <v>2</v>
      </c>
      <c r="H5" s="2" t="s">
        <v>4</v>
      </c>
      <c r="I5" s="2" t="s">
        <v>126</v>
      </c>
      <c r="J5" s="2" t="s">
        <v>142</v>
      </c>
      <c r="L5" s="10" t="s">
        <v>143</v>
      </c>
      <c r="M5" s="7" t="n">
        <f aca="false">'Detallado de la inversión.'!G109</f>
        <v>111988</v>
      </c>
    </row>
    <row r="6" customFormat="false" ht="15" hidden="false" customHeight="false" outlineLevel="0" collapsed="false">
      <c r="E6" s="24" t="s">
        <v>144</v>
      </c>
      <c r="F6" s="24"/>
      <c r="G6" s="24"/>
      <c r="H6" s="24"/>
      <c r="I6" s="24"/>
      <c r="L6" s="10" t="s">
        <v>145</v>
      </c>
      <c r="M6" s="7" t="n">
        <f aca="false">'Detallado de la inversión.'!G90+'Detallado de la inversión.'!G103</f>
        <v>8108</v>
      </c>
    </row>
    <row r="7" customFormat="false" ht="15" hidden="false" customHeight="false" outlineLevel="0" collapsed="false">
      <c r="E7" s="25" t="str">
        <f aca="false">'Detallado de la inversión.'!C62</f>
        <v>PC recepción / ventas</v>
      </c>
      <c r="F7" s="25"/>
      <c r="G7" s="26" t="n">
        <f aca="false">'Detallado de la inversión.'!E62</f>
        <v>1</v>
      </c>
      <c r="H7" s="26" t="n">
        <f aca="false">'Detallado de la inversión.'!F62</f>
        <v>800</v>
      </c>
      <c r="I7" s="26" t="n">
        <f aca="false">'Detallado de la inversión.'!G62</f>
        <v>800</v>
      </c>
      <c r="J7" s="30" t="n">
        <f aca="false">'Detallado de la inversión.'!H62</f>
        <v>0.00714362253098546</v>
      </c>
      <c r="L7" s="10" t="s">
        <v>146</v>
      </c>
      <c r="M7" s="7" t="n">
        <f aca="false">'Detallado de la inversión.'!G108</f>
        <v>490</v>
      </c>
    </row>
    <row r="8" customFormat="false" ht="15" hidden="false" customHeight="false" outlineLevel="0" collapsed="false">
      <c r="E8" s="25" t="str">
        <f aca="false">'Detallado de la inversión.'!C63</f>
        <v>PC administración</v>
      </c>
      <c r="F8" s="25"/>
      <c r="G8" s="26" t="n">
        <f aca="false">'Detallado de la inversión.'!E63</f>
        <v>1</v>
      </c>
      <c r="H8" s="26" t="n">
        <f aca="false">'Detallado de la inversión.'!F63</f>
        <v>850</v>
      </c>
      <c r="I8" s="26" t="n">
        <f aca="false">'Detallado de la inversión.'!G63</f>
        <v>850</v>
      </c>
      <c r="J8" s="30" t="n">
        <f aca="false">'Detallado de la inversión.'!H63</f>
        <v>0.00759009893917205</v>
      </c>
      <c r="L8" s="10" t="s">
        <v>147</v>
      </c>
      <c r="M8" s="9" t="n">
        <f aca="false">M5/600000</f>
        <v>0.186646666666667</v>
      </c>
    </row>
    <row r="9" customFormat="false" ht="15" hidden="false" customHeight="false" outlineLevel="0" collapsed="false">
      <c r="E9" s="25" t="str">
        <f aca="false">'Detallado de la inversión.'!C64</f>
        <v>PC desarrollo</v>
      </c>
      <c r="F9" s="25"/>
      <c r="G9" s="26" t="n">
        <f aca="false">'Detallado de la inversión.'!E64</f>
        <v>1</v>
      </c>
      <c r="H9" s="26" t="n">
        <f aca="false">'Detallado de la inversión.'!F64</f>
        <v>950</v>
      </c>
      <c r="I9" s="26" t="n">
        <f aca="false">'Detallado de la inversión.'!G64</f>
        <v>950</v>
      </c>
      <c r="J9" s="30" t="n">
        <f aca="false">'Detallado de la inversión.'!H64</f>
        <v>0.00848305175554524</v>
      </c>
    </row>
    <row r="10" customFormat="false" ht="15" hidden="false" customHeight="false" outlineLevel="0" collapsed="false">
      <c r="E10" s="25" t="str">
        <f aca="false">'Detallado de la inversión.'!C65</f>
        <v>PC puesto flexible</v>
      </c>
      <c r="F10" s="25"/>
      <c r="G10" s="26" t="n">
        <f aca="false">'Detallado de la inversión.'!E65</f>
        <v>1</v>
      </c>
      <c r="H10" s="26" t="n">
        <f aca="false">'Detallado de la inversión.'!F65</f>
        <v>1100</v>
      </c>
      <c r="I10" s="26" t="n">
        <f aca="false">'Detallado de la inversión.'!G65</f>
        <v>1100</v>
      </c>
      <c r="J10" s="30" t="n">
        <f aca="false">'Detallado de la inversión.'!H65</f>
        <v>0.00982248098010501</v>
      </c>
      <c r="L10" s="17" t="s">
        <v>148</v>
      </c>
    </row>
    <row r="12" customFormat="false" ht="15" hidden="false" customHeight="false" outlineLevel="0" collapsed="false">
      <c r="E12" s="31" t="s">
        <v>149</v>
      </c>
      <c r="F12" s="31"/>
      <c r="I12" s="12" t="n">
        <f aca="false">SUM('Detallado de la inversión.'!G62:G65)</f>
        <v>3700</v>
      </c>
      <c r="J12" s="12"/>
    </row>
    <row r="14" customFormat="false" ht="15" hidden="false" customHeight="false" outlineLevel="0" collapsed="false">
      <c r="E14" s="24" t="s">
        <v>150</v>
      </c>
      <c r="F14" s="24"/>
      <c r="G14" s="24"/>
      <c r="H14" s="24"/>
      <c r="I14" s="24"/>
    </row>
    <row r="15" customFormat="false" ht="15" hidden="false" customHeight="false" outlineLevel="0" collapsed="false">
      <c r="E15" s="25" t="str">
        <f aca="false">'Detallado de la inversión.'!C60</f>
        <v>Depósito + amueblado HQ casa</v>
      </c>
      <c r="F15" s="25"/>
      <c r="G15" s="26" t="n">
        <f aca="false">'Detallado de la inversión.'!E60</f>
        <v>1</v>
      </c>
      <c r="H15" s="26" t="n">
        <f aca="false">'Detallado de la inversión.'!F60</f>
        <v>1250</v>
      </c>
      <c r="I15" s="26" t="n">
        <f aca="false">'Detallado de la inversión.'!G60</f>
        <v>1250</v>
      </c>
      <c r="J15" s="30" t="n">
        <f aca="false">'Detallado de la inversión.'!H60</f>
        <v>0.0111619102046648</v>
      </c>
    </row>
    <row r="16" customFormat="false" ht="15" hidden="false" customHeight="false" outlineLevel="0" collapsed="false">
      <c r="E16" s="25" t="str">
        <f aca="false">'Detallado de la inversión.'!C61</f>
        <v>Adecuación HQ (pintura, señalética)</v>
      </c>
      <c r="F16" s="25"/>
      <c r="G16" s="26" t="n">
        <f aca="false">'Detallado de la inversión.'!E61</f>
        <v>1</v>
      </c>
      <c r="H16" s="26" t="n">
        <f aca="false">'Detallado de la inversión.'!F61</f>
        <v>400</v>
      </c>
      <c r="I16" s="26" t="n">
        <f aca="false">'Detallado de la inversión.'!G61</f>
        <v>400</v>
      </c>
      <c r="J16" s="30" t="n">
        <f aca="false">'Detallado de la inversión.'!H61</f>
        <v>0.00357181126549273</v>
      </c>
    </row>
    <row r="18" customFormat="false" ht="15" hidden="false" customHeight="false" outlineLevel="0" collapsed="false">
      <c r="E18" s="31" t="s">
        <v>151</v>
      </c>
      <c r="F18" s="31"/>
      <c r="I18" s="12" t="n">
        <f aca="false">SUM('Detallado de la inversión.'!G60:G61)</f>
        <v>1650</v>
      </c>
    </row>
    <row r="20" customFormat="false" ht="15" hidden="false" customHeight="false" outlineLevel="0" collapsed="false">
      <c r="E20" s="24" t="s">
        <v>152</v>
      </c>
      <c r="F20" s="24"/>
      <c r="G20" s="24"/>
      <c r="H20" s="24"/>
      <c r="I20" s="24"/>
    </row>
    <row r="21" customFormat="false" ht="15" hidden="false" customHeight="false" outlineLevel="0" collapsed="false">
      <c r="E21" s="25" t="str">
        <f aca="false">'Detallado de la inversión.'!C42</f>
        <v>Founder CEO/CTO (1000/mes)</v>
      </c>
      <c r="F21" s="25"/>
      <c r="G21" s="26" t="n">
        <f aca="false">'Detallado de la inversión.'!E42</f>
        <v>3</v>
      </c>
      <c r="H21" s="26" t="n">
        <f aca="false">'Detallado de la inversión.'!F42</f>
        <v>1000</v>
      </c>
      <c r="I21" s="26" t="n">
        <f aca="false">'Detallado de la inversión.'!G42</f>
        <v>3000</v>
      </c>
      <c r="J21" s="30" t="n">
        <f aca="false">'Detallado de la inversión.'!H42</f>
        <v>0.0267885844911955</v>
      </c>
    </row>
    <row r="22" customFormat="false" ht="15" hidden="false" customHeight="false" outlineLevel="0" collapsed="false">
      <c r="E22" s="25" t="str">
        <f aca="false">'Detallado de la inversión.'!C43</f>
        <v>Co-CEO Head Sales&amp;Ops (1000/mes)</v>
      </c>
      <c r="F22" s="25"/>
      <c r="G22" s="26" t="n">
        <f aca="false">'Detallado de la inversión.'!E43</f>
        <v>3</v>
      </c>
      <c r="H22" s="26" t="n">
        <f aca="false">'Detallado de la inversión.'!F43</f>
        <v>1000</v>
      </c>
      <c r="I22" s="26" t="n">
        <f aca="false">'Detallado de la inversión.'!G43</f>
        <v>3000</v>
      </c>
      <c r="J22" s="30" t="n">
        <f aca="false">'Detallado de la inversión.'!H43</f>
        <v>0.0267885844911955</v>
      </c>
    </row>
    <row r="23" customFormat="false" ht="15" hidden="false" customHeight="false" outlineLevel="0" collapsed="false">
      <c r="E23" s="25" t="str">
        <f aca="false">'Detallado de la inversión.'!C44</f>
        <v>Dev junior (Flutter/Laravel) (600/mes)</v>
      </c>
      <c r="F23" s="25"/>
      <c r="G23" s="26" t="n">
        <f aca="false">'Detallado de la inversión.'!E44</f>
        <v>3</v>
      </c>
      <c r="H23" s="26" t="n">
        <f aca="false">'Detallado de la inversión.'!F44</f>
        <v>600</v>
      </c>
      <c r="I23" s="26" t="n">
        <f aca="false">'Detallado de la inversión.'!G44</f>
        <v>1800</v>
      </c>
      <c r="J23" s="30" t="n">
        <f aca="false">'Detallado de la inversión.'!H44</f>
        <v>0.0160731506947173</v>
      </c>
    </row>
    <row r="24" customFormat="false" ht="15" hidden="false" customHeight="false" outlineLevel="0" collapsed="false">
      <c r="E24" s="25" t="str">
        <f aca="false">'Detallado de la inversión.'!C45</f>
        <v>4× Sales B2B (350/mes c/u base)</v>
      </c>
      <c r="F24" s="25"/>
      <c r="G24" s="26" t="n">
        <f aca="false">'Detallado de la inversión.'!E45</f>
        <v>3</v>
      </c>
      <c r="H24" s="26" t="n">
        <f aca="false">'Detallado de la inversión.'!F45</f>
        <v>1400</v>
      </c>
      <c r="I24" s="26" t="n">
        <f aca="false">'Detallado de la inversión.'!G45</f>
        <v>4200</v>
      </c>
      <c r="J24" s="30" t="n">
        <f aca="false">'Detallado de la inversión.'!H45</f>
        <v>0.0375040182876737</v>
      </c>
    </row>
    <row r="25" customFormat="false" ht="15" hidden="false" customHeight="false" outlineLevel="0" collapsed="false">
      <c r="E25" s="25" t="str">
        <f aca="false">'Detallado de la inversión.'!C46</f>
        <v>CS + Community Manager (400/mes)</v>
      </c>
      <c r="F25" s="25"/>
      <c r="G25" s="26" t="n">
        <f aca="false">'Detallado de la inversión.'!E46</f>
        <v>3</v>
      </c>
      <c r="H25" s="26" t="n">
        <f aca="false">'Detallado de la inversión.'!F46</f>
        <v>400</v>
      </c>
      <c r="I25" s="26" t="n">
        <f aca="false">'Detallado de la inversión.'!G46</f>
        <v>1200</v>
      </c>
      <c r="J25" s="30" t="n">
        <f aca="false">'Detallado de la inversión.'!H46</f>
        <v>0.0107154337964782</v>
      </c>
    </row>
    <row r="26" customFormat="false" ht="15" hidden="false" customHeight="false" outlineLevel="0" collapsed="false">
      <c r="E26" s="25" t="str">
        <f aca="false">'Detallado de la inversión.'!C47</f>
        <v>Herramientas IA (425/mes)</v>
      </c>
      <c r="F26" s="25"/>
      <c r="G26" s="26" t="n">
        <f aca="false">'Detallado de la inversión.'!E47</f>
        <v>3</v>
      </c>
      <c r="H26" s="26" t="n">
        <f aca="false">'Detallado de la inversión.'!F47</f>
        <v>425</v>
      </c>
      <c r="I26" s="26" t="n">
        <f aca="false">'Detallado de la inversión.'!G47</f>
        <v>1275</v>
      </c>
      <c r="J26" s="30" t="n">
        <f aca="false">'Detallado de la inversión.'!H47</f>
        <v>0.0113851484087581</v>
      </c>
    </row>
    <row r="27" customFormat="false" ht="15" hidden="false" customHeight="false" outlineLevel="0" collapsed="false">
      <c r="E27" s="25" t="str">
        <f aca="false">'Detallado de la inversión.'!C48</f>
        <v>Contador + Abogado (330/mes)</v>
      </c>
      <c r="F27" s="25"/>
      <c r="G27" s="26" t="n">
        <f aca="false">'Detallado de la inversión.'!E48</f>
        <v>3</v>
      </c>
      <c r="H27" s="26" t="n">
        <f aca="false">'Detallado de la inversión.'!F48</f>
        <v>330</v>
      </c>
      <c r="I27" s="26" t="n">
        <f aca="false">'Detallado de la inversión.'!G48</f>
        <v>990</v>
      </c>
      <c r="J27" s="30" t="n">
        <f aca="false">'Detallado de la inversión.'!H48</f>
        <v>0.00884023288209451</v>
      </c>
    </row>
    <row r="28" customFormat="false" ht="15" hidden="false" customHeight="false" outlineLevel="0" collapsed="false">
      <c r="E28" s="27" t="str">
        <f aca="false">'Detallado de la inversión.'!C49</f>
        <v>Subtotal mano de obra Fase 0 (3 meses)</v>
      </c>
      <c r="F28" s="27"/>
      <c r="I28" s="26" t="n">
        <f aca="false">'Detallado de la inversión.'!G49</f>
        <v>15465</v>
      </c>
      <c r="J28" s="30" t="n">
        <f aca="false">'Detallado de la inversión.'!H49</f>
        <v>0.138095153052113</v>
      </c>
    </row>
    <row r="30" customFormat="false" ht="15" hidden="false" customHeight="false" outlineLevel="0" collapsed="false">
      <c r="E30" s="24" t="s">
        <v>153</v>
      </c>
      <c r="F30" s="24"/>
      <c r="G30" s="24"/>
      <c r="H30" s="24"/>
      <c r="I30" s="24"/>
    </row>
    <row r="31" customFormat="false" ht="15" hidden="false" customHeight="false" outlineLevel="0" collapsed="false">
      <c r="E31" s="25" t="str">
        <f aca="false">'Detallado de la inversión.'!C54</f>
        <v>Visitas comerciales Valencia (combustible / terceros)</v>
      </c>
      <c r="F31" s="25"/>
      <c r="G31" s="26" t="n">
        <f aca="false">'Detallado de la inversión.'!E54</f>
        <v>3</v>
      </c>
      <c r="H31" s="26" t="n">
        <f aca="false">'Detallado de la inversión.'!F54</f>
        <v>167</v>
      </c>
      <c r="I31" s="26" t="n">
        <f aca="false">'Detallado de la inversión.'!G54</f>
        <v>501</v>
      </c>
      <c r="J31" s="30" t="n">
        <f aca="false">'Detallado de la inversión.'!H54</f>
        <v>0.00447369361002965</v>
      </c>
    </row>
    <row r="32" customFormat="false" ht="15" hidden="false" customHeight="false" outlineLevel="0" collapsed="false">
      <c r="E32" s="25" t="str">
        <f aca="false">'Detallado de la inversión.'!C55</f>
        <v>Logística material demo (tablets, POP)</v>
      </c>
      <c r="F32" s="25"/>
      <c r="G32" s="26" t="n">
        <f aca="false">'Detallado de la inversión.'!E55</f>
        <v>1</v>
      </c>
      <c r="H32" s="26" t="n">
        <f aca="false">'Detallado de la inversión.'!F55</f>
        <v>200</v>
      </c>
      <c r="I32" s="26" t="n">
        <f aca="false">'Detallado de la inversión.'!G55</f>
        <v>200</v>
      </c>
      <c r="J32" s="30" t="n">
        <f aca="false">'Detallado de la inversión.'!H55</f>
        <v>0.00178590563274637</v>
      </c>
    </row>
    <row r="33" customFormat="false" ht="15" hidden="false" customHeight="false" outlineLevel="0" collapsed="false">
      <c r="E33" s="25" t="str">
        <f aca="false">'Detallado de la inversión.'!C56</f>
        <v>Gira medios / eventos farmacia (opcional Lean)</v>
      </c>
      <c r="F33" s="25"/>
      <c r="G33" s="26" t="n">
        <f aca="false">'Detallado de la inversión.'!E56</f>
        <v>1</v>
      </c>
      <c r="H33" s="26" t="n">
        <f aca="false">'Detallado de la inversión.'!F56</f>
        <v>350</v>
      </c>
      <c r="I33" s="26" t="n">
        <f aca="false">'Detallado de la inversión.'!G56</f>
        <v>350</v>
      </c>
      <c r="J33" s="30" t="n">
        <f aca="false">'Detallado de la inversión.'!H56</f>
        <v>0.00312533485730614</v>
      </c>
    </row>
    <row r="34" customFormat="false" ht="15" hidden="false" customHeight="false" outlineLevel="0" collapsed="false">
      <c r="E34" s="27" t="str">
        <f aca="false">'Detallado de la inversión.'!C57</f>
        <v>Subtotal transporte referencia Fase 0</v>
      </c>
      <c r="F34" s="27"/>
      <c r="I34" s="26" t="n">
        <f aca="false">'Detallado de la inversión.'!G57</f>
        <v>1051</v>
      </c>
      <c r="J34" s="30" t="n">
        <f aca="false">'Detallado de la inversión.'!H57</f>
        <v>0.00938493410008215</v>
      </c>
    </row>
    <row r="36" customFormat="false" ht="15" hidden="false" customHeight="false" outlineLevel="0" collapsed="false">
      <c r="E36" s="24" t="s">
        <v>154</v>
      </c>
      <c r="F36" s="24"/>
      <c r="G36" s="24"/>
      <c r="H36" s="24"/>
      <c r="I36" s="24"/>
    </row>
    <row r="37" customFormat="false" ht="15" hidden="false" customHeight="false" outlineLevel="0" collapsed="false">
      <c r="E37" s="25" t="str">
        <f aca="false">'Detallado de la inversión.'!C95</f>
        <v>HQ casa (arriendo + servicios)</v>
      </c>
      <c r="F37" s="25"/>
      <c r="G37" s="32" t="n">
        <f aca="false">'Detallado de la inversión.'!E95</f>
        <v>0</v>
      </c>
      <c r="H37" s="26" t="n">
        <f aca="false">'Detallado de la inversión.'!F95</f>
        <v>500</v>
      </c>
      <c r="I37" s="26" t="n">
        <f aca="false">'Detallado de la inversión.'!G95</f>
        <v>500</v>
      </c>
      <c r="J37" s="30" t="n">
        <f aca="false">'Detallado de la inversión.'!H95</f>
        <v>0.00446476408186592</v>
      </c>
    </row>
    <row r="39" customFormat="false" ht="26.85" hidden="false" customHeight="true" outlineLevel="0" collapsed="false">
      <c r="E39" s="16" t="s">
        <v>155</v>
      </c>
      <c r="F39" s="16"/>
      <c r="G39" s="16"/>
      <c r="H39" s="16"/>
      <c r="I39" s="16"/>
      <c r="J39" s="16"/>
    </row>
    <row r="41" customFormat="false" ht="15" hidden="false" customHeight="false" outlineLevel="0" collapsed="false">
      <c r="E41" s="24" t="s">
        <v>156</v>
      </c>
      <c r="F41" s="24"/>
      <c r="G41" s="24"/>
      <c r="H41" s="24"/>
      <c r="I41" s="24"/>
    </row>
    <row r="42" customFormat="false" ht="15" hidden="false" customHeight="false" outlineLevel="0" collapsed="false">
      <c r="E42" s="25" t="str">
        <f aca="false">'Detallado de la inversión.'!C11</f>
        <v>Registro Mercantil + acta constitutiva</v>
      </c>
      <c r="F42" s="25"/>
      <c r="G42" s="26" t="n">
        <f aca="false">'Detallado de la inversión.'!E11</f>
        <v>1</v>
      </c>
      <c r="H42" s="26" t="n">
        <f aca="false">'Detallado de la inversión.'!F11</f>
        <v>1200</v>
      </c>
      <c r="I42" s="26" t="n">
        <f aca="false">'Detallado de la inversión.'!G11</f>
        <v>1200</v>
      </c>
      <c r="J42" s="30" t="n">
        <f aca="false">'Detallado de la inversión.'!H11</f>
        <v>0.0107154337964782</v>
      </c>
    </row>
    <row r="43" customFormat="false" ht="15" hidden="false" customHeight="false" outlineLevel="0" collapsed="false">
      <c r="E43" s="25" t="str">
        <f aca="false">'Detallado de la inversión.'!C12</f>
        <v>SENIAT — inscripción / trámites RIF</v>
      </c>
      <c r="F43" s="25"/>
      <c r="G43" s="26" t="n">
        <f aca="false">'Detallado de la inversión.'!E12</f>
        <v>1</v>
      </c>
      <c r="H43" s="26" t="n">
        <f aca="false">'Detallado de la inversión.'!F12</f>
        <v>600</v>
      </c>
      <c r="I43" s="26" t="n">
        <f aca="false">'Detallado de la inversión.'!G12</f>
        <v>600</v>
      </c>
      <c r="J43" s="30" t="n">
        <f aca="false">'Detallado de la inversión.'!H12</f>
        <v>0.0053577168982391</v>
      </c>
    </row>
    <row r="44" customFormat="false" ht="15" hidden="false" customHeight="false" outlineLevel="0" collapsed="false">
      <c r="E44" s="25" t="str">
        <f aca="false">'Detallado de la inversión.'!C13</f>
        <v>Licencia / permisos municipales HQ</v>
      </c>
      <c r="F44" s="25"/>
      <c r="G44" s="26" t="n">
        <f aca="false">'Detallado de la inversión.'!E13</f>
        <v>1</v>
      </c>
      <c r="H44" s="26" t="n">
        <f aca="false">'Detallado de la inversión.'!F13</f>
        <v>1500</v>
      </c>
      <c r="I44" s="26" t="n">
        <f aca="false">'Detallado de la inversión.'!G13</f>
        <v>1500</v>
      </c>
      <c r="J44" s="30" t="n">
        <f aca="false">'Detallado de la inversión.'!H13</f>
        <v>0.0133942922455977</v>
      </c>
    </row>
    <row r="45" customFormat="false" ht="15" hidden="false" customHeight="false" outlineLevel="0" collapsed="false">
      <c r="E45" s="25" t="str">
        <f aca="false">'Detallado de la inversión.'!C14</f>
        <v>Permiso bomberos (local operativo)</v>
      </c>
      <c r="F45" s="25"/>
      <c r="G45" s="26" t="n">
        <f aca="false">'Detallado de la inversión.'!E14</f>
        <v>1</v>
      </c>
      <c r="H45" s="26" t="n">
        <f aca="false">'Detallado de la inversión.'!F14</f>
        <v>1100</v>
      </c>
      <c r="I45" s="26" t="n">
        <f aca="false">'Detallado de la inversión.'!G14</f>
        <v>1100</v>
      </c>
      <c r="J45" s="30" t="n">
        <f aca="false">'Detallado de la inversión.'!H14</f>
        <v>0.00982248098010501</v>
      </c>
    </row>
    <row r="46" customFormat="false" ht="15" hidden="false" customHeight="false" outlineLevel="0" collapsed="false">
      <c r="E46" s="25" t="str">
        <f aca="false">'Detallado de la inversión.'!C15</f>
        <v>Apertura cuenta bancaria empresa</v>
      </c>
      <c r="F46" s="25"/>
      <c r="G46" s="26" t="n">
        <f aca="false">'Detallado de la inversión.'!E15</f>
        <v>1</v>
      </c>
      <c r="H46" s="26" t="n">
        <f aca="false">'Detallado de la inversión.'!F15</f>
        <v>100</v>
      </c>
      <c r="I46" s="26" t="n">
        <f aca="false">'Detallado de la inversión.'!G15</f>
        <v>100</v>
      </c>
      <c r="J46" s="30" t="n">
        <f aca="false">'Detallado de la inversión.'!H15</f>
        <v>0.000892952816373183</v>
      </c>
    </row>
    <row r="47" customFormat="false" ht="15" hidden="false" customHeight="false" outlineLevel="0" collapsed="false">
      <c r="E47" s="25" t="str">
        <f aca="false">'Detallado de la inversión.'!C16</f>
        <v>Sello digital + factura digital SENIAT</v>
      </c>
      <c r="F47" s="25"/>
      <c r="G47" s="26" t="n">
        <f aca="false">'Detallado de la inversión.'!E16</f>
        <v>1</v>
      </c>
      <c r="H47" s="26" t="n">
        <f aca="false">'Detallado de la inversión.'!F16</f>
        <v>200</v>
      </c>
      <c r="I47" s="26" t="n">
        <f aca="false">'Detallado de la inversión.'!G16</f>
        <v>200</v>
      </c>
      <c r="J47" s="30" t="n">
        <f aca="false">'Detallado de la inversión.'!H16</f>
        <v>0.00178590563274637</v>
      </c>
    </row>
    <row r="48" customFormat="false" ht="15" hidden="false" customHeight="false" outlineLevel="0" collapsed="false">
      <c r="E48" s="25" t="str">
        <f aca="false">'Detallado de la inversión.'!C17</f>
        <v>Registro marca SAPI (paralelo)</v>
      </c>
      <c r="F48" s="25"/>
      <c r="G48" s="26" t="n">
        <f aca="false">'Detallado de la inversión.'!E17</f>
        <v>1</v>
      </c>
      <c r="H48" s="26" t="n">
        <f aca="false">'Detallado de la inversión.'!F17</f>
        <v>350</v>
      </c>
      <c r="I48" s="26" t="n">
        <f aca="false">'Detallado de la inversión.'!G17</f>
        <v>350</v>
      </c>
      <c r="J48" s="30" t="n">
        <f aca="false">'Detallado de la inversión.'!H17</f>
        <v>0.00312533485730614</v>
      </c>
    </row>
    <row r="49" customFormat="false" ht="15" hidden="false" customHeight="false" outlineLevel="0" collapsed="false">
      <c r="E49" s="27" t="str">
        <f aca="false">'Detallado de la inversión.'!C18</f>
        <v>Subtotal constitución empresa</v>
      </c>
      <c r="F49" s="27"/>
      <c r="I49" s="26" t="n">
        <f aca="false">'Detallado de la inversión.'!G18</f>
        <v>5050</v>
      </c>
      <c r="J49" s="30" t="n">
        <f aca="false">'Detallado de la inversión.'!H18</f>
        <v>0.0450941172268457</v>
      </c>
    </row>
    <row r="51" customFormat="false" ht="15" hidden="false" customHeight="false" outlineLevel="0" collapsed="false">
      <c r="E51" s="24" t="s">
        <v>157</v>
      </c>
      <c r="F51" s="24"/>
      <c r="G51" s="24"/>
      <c r="H51" s="24"/>
      <c r="I51" s="24"/>
    </row>
    <row r="52" customFormat="false" ht="15" hidden="false" customHeight="false" outlineLevel="0" collapsed="false">
      <c r="E52" s="25" t="str">
        <f aca="false">'Detallado de la inversión.'!C25</f>
        <v>Website landing + dominio</v>
      </c>
      <c r="F52" s="25"/>
      <c r="G52" s="26" t="n">
        <f aca="false">'Detallado de la inversión.'!E25</f>
        <v>1</v>
      </c>
      <c r="H52" s="26" t="n">
        <f aca="false">'Detallado de la inversión.'!F25</f>
        <v>800</v>
      </c>
      <c r="I52" s="26" t="n">
        <f aca="false">'Detallado de la inversión.'!G25</f>
        <v>800</v>
      </c>
      <c r="J52" s="30" t="n">
        <f aca="false">'Detallado de la inversión.'!H25</f>
        <v>0.00714362253098546</v>
      </c>
    </row>
    <row r="53" customFormat="false" ht="15" hidden="false" customHeight="false" outlineLevel="0" collapsed="false">
      <c r="E53" s="25" t="str">
        <f aca="false">'Detallado de la inversión.'!C26</f>
        <v>Brochures y material impreso B2B</v>
      </c>
      <c r="F53" s="25"/>
      <c r="G53" s="26" t="n">
        <f aca="false">'Detallado de la inversión.'!E26</f>
        <v>1</v>
      </c>
      <c r="H53" s="26" t="n">
        <f aca="false">'Detallado de la inversión.'!F26</f>
        <v>400</v>
      </c>
      <c r="I53" s="26" t="n">
        <f aca="false">'Detallado de la inversión.'!G26</f>
        <v>400</v>
      </c>
      <c r="J53" s="30" t="n">
        <f aca="false">'Detallado de la inversión.'!H26</f>
        <v>0.00357181126549273</v>
      </c>
    </row>
    <row r="54" customFormat="false" ht="15" hidden="false" customHeight="false" outlineLevel="0" collapsed="false">
      <c r="E54" s="25" t="str">
        <f aca="false">'Detallado de la inversión.'!C27</f>
        <v>Tablets demo farmacia</v>
      </c>
      <c r="F54" s="25"/>
      <c r="G54" s="26" t="n">
        <f aca="false">'Detallado de la inversión.'!E27</f>
        <v>2</v>
      </c>
      <c r="H54" s="26" t="n">
        <f aca="false">'Detallado de la inversión.'!F27</f>
        <v>350</v>
      </c>
      <c r="I54" s="26" t="n">
        <f aca="false">'Detallado de la inversión.'!G27</f>
        <v>700</v>
      </c>
      <c r="J54" s="30" t="n">
        <f aca="false">'Detallado de la inversión.'!H27</f>
        <v>0.00625066971461228</v>
      </c>
    </row>
    <row r="55" customFormat="false" ht="15" hidden="false" customHeight="false" outlineLevel="0" collapsed="false">
      <c r="E55" s="25" t="str">
        <f aca="false">'Detallado de la inversión.'!C28</f>
        <v>Visitas comerciales pre-Day-D</v>
      </c>
      <c r="F55" s="25"/>
      <c r="G55" s="26" t="n">
        <f aca="false">'Detallado de la inversión.'!E28</f>
        <v>1</v>
      </c>
      <c r="H55" s="26" t="n">
        <f aca="false">'Detallado de la inversión.'!F28</f>
        <v>500</v>
      </c>
      <c r="I55" s="26" t="n">
        <f aca="false">'Detallado de la inversión.'!G28</f>
        <v>500</v>
      </c>
      <c r="J55" s="30" t="n">
        <f aca="false">'Detallado de la inversión.'!H28</f>
        <v>0.00446476408186592</v>
      </c>
    </row>
    <row r="56" customFormat="false" ht="15" hidden="false" customHeight="false" outlineLevel="0" collapsed="false">
      <c r="E56" s="25" t="str">
        <f aca="false">'Detallado de la inversión.'!C29</f>
        <v>Reservas operativas primer mes</v>
      </c>
      <c r="F56" s="25"/>
      <c r="G56" s="26" t="n">
        <f aca="false">'Detallado de la inversión.'!E29</f>
        <v>1</v>
      </c>
      <c r="H56" s="26" t="n">
        <f aca="false">'Detallado de la inversión.'!F29</f>
        <v>608</v>
      </c>
      <c r="I56" s="26" t="n">
        <f aca="false">'Detallado de la inversión.'!G29</f>
        <v>608</v>
      </c>
      <c r="J56" s="30" t="n">
        <f aca="false">'Detallado de la inversión.'!H29</f>
        <v>0.00542915312354895</v>
      </c>
    </row>
    <row r="57" customFormat="false" ht="15" hidden="false" customHeight="false" outlineLevel="0" collapsed="false">
      <c r="E57" s="25" t="str">
        <f aca="false">'Detallado de la inversión.'!C30</f>
        <v>Video pitch B2B farmacia (one-shot)</v>
      </c>
      <c r="F57" s="25"/>
      <c r="G57" s="26" t="n">
        <f aca="false">'Detallado de la inversión.'!E30</f>
        <v>1</v>
      </c>
      <c r="H57" s="26" t="n">
        <f aca="false">'Detallado de la inversión.'!F30</f>
        <v>800</v>
      </c>
      <c r="I57" s="26" t="n">
        <f aca="false">'Detallado de la inversión.'!G30</f>
        <v>800</v>
      </c>
      <c r="J57" s="30" t="n">
        <f aca="false">'Detallado de la inversión.'!H30</f>
        <v>0.00714362253098546</v>
      </c>
    </row>
    <row r="58" customFormat="false" ht="15" hidden="false" customHeight="false" outlineLevel="0" collapsed="false">
      <c r="E58" s="27" t="str">
        <f aca="false">'Detallado de la inversión.'!C31</f>
        <v>Subtotal intro mercado Lean</v>
      </c>
      <c r="F58" s="27"/>
      <c r="I58" s="26" t="n">
        <f aca="false">'Detallado de la inversión.'!G31</f>
        <v>3808</v>
      </c>
      <c r="J58" s="30" t="n">
        <f aca="false">'Detallado de la inversión.'!H31</f>
        <v>0.0340036432474908</v>
      </c>
    </row>
    <row r="60" customFormat="false" ht="15" hidden="false" customHeight="false" outlineLevel="0" collapsed="false">
      <c r="E60" s="24" t="s">
        <v>158</v>
      </c>
      <c r="F60" s="24"/>
      <c r="G60" s="24"/>
      <c r="H60" s="24"/>
      <c r="I60" s="24"/>
    </row>
    <row r="61" customFormat="false" ht="15" hidden="false" customHeight="false" outlineLevel="0" collapsed="false">
      <c r="E61" s="25" t="str">
        <f aca="false">'Detallado de la inversión.'!C34</f>
        <v>Meta Ads pre-Day-D</v>
      </c>
      <c r="F61" s="25"/>
      <c r="G61" s="26" t="n">
        <f aca="false">'Detallado de la inversión.'!E34</f>
        <v>3</v>
      </c>
      <c r="H61" s="26" t="n">
        <f aca="false">'Detallado de la inversión.'!F34</f>
        <v>400</v>
      </c>
      <c r="I61" s="26" t="n">
        <f aca="false">'Detallado de la inversión.'!G34</f>
        <v>1200</v>
      </c>
      <c r="J61" s="30" t="n">
        <f aca="false">'Detallado de la inversión.'!H34</f>
        <v>0.0107154337964782</v>
      </c>
    </row>
    <row r="62" customFormat="false" ht="15" hidden="false" customHeight="false" outlineLevel="0" collapsed="false">
      <c r="E62" s="25" t="str">
        <f aca="false">'Detallado de la inversión.'!C35</f>
        <v>Material POP / señalética</v>
      </c>
      <c r="F62" s="25"/>
      <c r="G62" s="26" t="n">
        <f aca="false">'Detallado de la inversión.'!E35</f>
        <v>1</v>
      </c>
      <c r="H62" s="26" t="n">
        <f aca="false">'Detallado de la inversión.'!F35</f>
        <v>600</v>
      </c>
      <c r="I62" s="26" t="n">
        <f aca="false">'Detallado de la inversión.'!G35</f>
        <v>600</v>
      </c>
      <c r="J62" s="30" t="n">
        <f aca="false">'Detallado de la inversión.'!H35</f>
        <v>0.0053577168982391</v>
      </c>
    </row>
    <row r="63" customFormat="false" ht="15" hidden="false" customHeight="false" outlineLevel="0" collapsed="false">
      <c r="E63" s="25" t="str">
        <f aca="false">'Detallado de la inversión.'!C36</f>
        <v>Demos B2B adicionales</v>
      </c>
      <c r="F63" s="25"/>
      <c r="G63" s="26" t="n">
        <f aca="false">'Detallado de la inversión.'!E36</f>
        <v>1</v>
      </c>
      <c r="H63" s="26" t="n">
        <f aca="false">'Detallado de la inversión.'!F36</f>
        <v>450</v>
      </c>
      <c r="I63" s="26" t="n">
        <f aca="false">'Detallado de la inversión.'!G36</f>
        <v>450</v>
      </c>
      <c r="J63" s="30" t="n">
        <f aca="false">'Detallado de la inversión.'!H36</f>
        <v>0.00401828767367932</v>
      </c>
    </row>
    <row r="64" customFormat="false" ht="15" hidden="false" customHeight="false" outlineLevel="0" collapsed="false">
      <c r="E64" s="27" t="str">
        <f aca="false">'Detallado de la inversión.'!C37</f>
        <v>Subtotal marketing pre-lanzamiento Lean</v>
      </c>
      <c r="F64" s="27"/>
      <c r="I64" s="26" t="n">
        <f aca="false">'Detallado de la inversión.'!G37</f>
        <v>2250</v>
      </c>
      <c r="J64" s="30" t="n">
        <f aca="false">'Detallado de la inversión.'!H37</f>
        <v>0.0200914383683966</v>
      </c>
    </row>
    <row r="66" customFormat="false" ht="15" hidden="false" customHeight="false" outlineLevel="0" collapsed="false">
      <c r="E66" s="24" t="s">
        <v>159</v>
      </c>
      <c r="F66" s="24"/>
      <c r="G66" s="24"/>
      <c r="H66" s="24"/>
      <c r="I66" s="24"/>
    </row>
    <row r="67" customFormat="false" ht="15" hidden="false" customHeight="false" outlineLevel="0" collapsed="false">
      <c r="E67" s="25" t="str">
        <f aca="false">'Detallado de la inversión.'!C97</f>
        <v>Hosting + SaaS + Firebase OTP</v>
      </c>
      <c r="F67" s="25"/>
      <c r="G67" s="32" t="n">
        <f aca="false">'Detallado de la inversión.'!E97</f>
        <v>0</v>
      </c>
      <c r="H67" s="26" t="n">
        <f aca="false">'Detallado de la inversión.'!F97</f>
        <v>154</v>
      </c>
      <c r="I67" s="26" t="n">
        <f aca="false">'Detallado de la inversión.'!G97</f>
        <v>154</v>
      </c>
      <c r="J67" s="30" t="n">
        <f aca="false">'Detallado de la inversión.'!H97</f>
        <v>0.0013751473372147</v>
      </c>
    </row>
    <row r="69" customFormat="false" ht="26.85" hidden="false" customHeight="true" outlineLevel="0" collapsed="false">
      <c r="E69" s="16" t="s">
        <v>160</v>
      </c>
      <c r="F69" s="16"/>
      <c r="G69" s="16"/>
      <c r="H69" s="16"/>
      <c r="I69" s="16"/>
      <c r="J69" s="16"/>
    </row>
  </sheetData>
  <mergeCells count="56">
    <mergeCell ref="E1:I1"/>
    <mergeCell ref="L2:M2"/>
    <mergeCell ref="E3:I3"/>
    <mergeCell ref="E5:F5"/>
    <mergeCell ref="E6:I6"/>
    <mergeCell ref="E7:F7"/>
    <mergeCell ref="E8:F8"/>
    <mergeCell ref="E9:F9"/>
    <mergeCell ref="E10:F10"/>
    <mergeCell ref="E12:F12"/>
    <mergeCell ref="E14:I14"/>
    <mergeCell ref="E15:F15"/>
    <mergeCell ref="E16:F16"/>
    <mergeCell ref="E18:F18"/>
    <mergeCell ref="E20:I20"/>
    <mergeCell ref="E21:F21"/>
    <mergeCell ref="E22:F22"/>
    <mergeCell ref="E23:F23"/>
    <mergeCell ref="E24:F24"/>
    <mergeCell ref="E25:F25"/>
    <mergeCell ref="E26:F26"/>
    <mergeCell ref="E27:F27"/>
    <mergeCell ref="E28:F28"/>
    <mergeCell ref="E30:I30"/>
    <mergeCell ref="E31:F31"/>
    <mergeCell ref="E32:F32"/>
    <mergeCell ref="E33:F33"/>
    <mergeCell ref="E34:F34"/>
    <mergeCell ref="E36:I36"/>
    <mergeCell ref="E37:F37"/>
    <mergeCell ref="E39:J39"/>
    <mergeCell ref="E41:I41"/>
    <mergeCell ref="E42:F42"/>
    <mergeCell ref="E43:F43"/>
    <mergeCell ref="E44:F44"/>
    <mergeCell ref="E45:F45"/>
    <mergeCell ref="E46:F46"/>
    <mergeCell ref="E47:F47"/>
    <mergeCell ref="E48:F48"/>
    <mergeCell ref="E49:F49"/>
    <mergeCell ref="E51:I51"/>
    <mergeCell ref="E52:F52"/>
    <mergeCell ref="E53:F53"/>
    <mergeCell ref="E54:F54"/>
    <mergeCell ref="E55:F55"/>
    <mergeCell ref="E56:F56"/>
    <mergeCell ref="E57:F57"/>
    <mergeCell ref="E58:F58"/>
    <mergeCell ref="E60:I60"/>
    <mergeCell ref="E61:F61"/>
    <mergeCell ref="E62:F62"/>
    <mergeCell ref="E63:F63"/>
    <mergeCell ref="E64:F64"/>
    <mergeCell ref="E66:I66"/>
    <mergeCell ref="E67:F67"/>
    <mergeCell ref="E69:J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9.9"/>
    <col collapsed="false" customWidth="true" hidden="false" outlineLevel="0" max="5" min="5" style="0" width="22.9"/>
  </cols>
  <sheetData>
    <row r="1" customFormat="false" ht="15" hidden="false" customHeight="false" outlineLevel="0" collapsed="false">
      <c r="C1" s="3" t="s">
        <v>78</v>
      </c>
    </row>
    <row r="2" customFormat="false" ht="15" hidden="false" customHeight="false" outlineLevel="0" collapsed="false">
      <c r="B2" s="10" t="s">
        <v>161</v>
      </c>
      <c r="C2" s="7" t="n">
        <v>800</v>
      </c>
    </row>
    <row r="3" customFormat="false" ht="15" hidden="false" customHeight="false" outlineLevel="0" collapsed="false">
      <c r="B3" s="10" t="s">
        <v>162</v>
      </c>
      <c r="C3" s="7" t="n">
        <v>500</v>
      </c>
    </row>
    <row r="4" customFormat="false" ht="15" hidden="false" customHeight="false" outlineLevel="0" collapsed="false">
      <c r="B4" s="10" t="s">
        <v>163</v>
      </c>
      <c r="C4" s="7" t="n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3:W88"/>
  <sheetViews>
    <sheetView showFormulas="false" showGridLines="true" showRowColHeaders="true" showZeros="true" rightToLeft="false" tabSelected="false" showOutlineSymbols="true" defaultGridColor="true" view="normal" topLeftCell="A49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52.9"/>
    <col collapsed="false" customWidth="true" hidden="false" outlineLevel="0" max="6" min="6" style="0" width="13"/>
    <col collapsed="false" customWidth="true" hidden="false" outlineLevel="0" max="7" min="7" style="0" width="17.1"/>
    <col collapsed="false" customWidth="true" hidden="false" outlineLevel="0" max="8" min="8" style="0" width="17.61"/>
    <col collapsed="false" customWidth="true" hidden="false" outlineLevel="0" max="9" min="9" style="0" width="15.6"/>
    <col collapsed="false" customWidth="true" hidden="false" outlineLevel="0" max="10" min="10" style="0" width="12"/>
    <col collapsed="false" customWidth="true" hidden="false" outlineLevel="0" max="11" min="11" style="0" width="15.3"/>
    <col collapsed="false" customWidth="true" hidden="false" outlineLevel="0" max="13" min="13" style="0" width="28"/>
    <col collapsed="false" customWidth="true" hidden="false" outlineLevel="0" max="14" min="14" style="0" width="15.6"/>
    <col collapsed="false" customWidth="true" hidden="false" outlineLevel="0" max="15" min="15" style="0" width="12"/>
    <col collapsed="false" customWidth="true" hidden="false" outlineLevel="0" max="16" min="16" style="0" width="29.1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3" min="22" style="0" width="12"/>
  </cols>
  <sheetData>
    <row r="3" customFormat="false" ht="15" hidden="false" customHeight="true" outlineLevel="0" collapsed="false">
      <c r="E3" s="16" t="s">
        <v>164</v>
      </c>
      <c r="F3" s="16"/>
      <c r="G3" s="16"/>
      <c r="H3" s="16"/>
      <c r="I3" s="16"/>
      <c r="J3" s="16"/>
    </row>
    <row r="7" customFormat="false" ht="24.45" hidden="false" customHeight="false" outlineLevel="0" collapsed="false">
      <c r="E7" s="19" t="s">
        <v>165</v>
      </c>
      <c r="M7" s="29" t="s">
        <v>166</v>
      </c>
    </row>
    <row r="8" customFormat="false" ht="22.35" hidden="false" customHeight="false" outlineLevel="0" collapsed="false">
      <c r="P8" s="33" t="s">
        <v>167</v>
      </c>
    </row>
    <row r="9" customFormat="false" ht="15" hidden="false" customHeight="false" outlineLevel="0" collapsed="false">
      <c r="E9" s="2" t="s">
        <v>1</v>
      </c>
      <c r="F9" s="2"/>
      <c r="G9" s="2" t="s">
        <v>2</v>
      </c>
      <c r="H9" s="2" t="s">
        <v>4</v>
      </c>
      <c r="I9" s="2" t="s">
        <v>126</v>
      </c>
      <c r="J9" s="2" t="s">
        <v>142</v>
      </c>
      <c r="K9" s="2" t="s">
        <v>168</v>
      </c>
      <c r="M9" s="2" t="s">
        <v>169</v>
      </c>
      <c r="O9" s="2" t="s">
        <v>170</v>
      </c>
      <c r="S9" s="2" t="s">
        <v>171</v>
      </c>
    </row>
    <row r="10" customFormat="false" ht="15" hidden="false" customHeight="false" outlineLevel="0" collapsed="false">
      <c r="E10" s="34" t="s">
        <v>172</v>
      </c>
      <c r="K10" s="30" t="n">
        <v>0.4</v>
      </c>
      <c r="M10" s="10" t="s">
        <v>173</v>
      </c>
      <c r="O10" s="7" t="n">
        <v>50</v>
      </c>
      <c r="S10" s="10" t="s">
        <v>174</v>
      </c>
    </row>
    <row r="11" customFormat="false" ht="15" hidden="false" customHeight="false" outlineLevel="0" collapsed="false">
      <c r="E11" s="24" t="s">
        <v>175</v>
      </c>
      <c r="F11" s="24"/>
      <c r="G11" s="24"/>
      <c r="H11" s="24"/>
      <c r="I11" s="24"/>
      <c r="M11" s="10" t="s">
        <v>176</v>
      </c>
      <c r="O11" s="7" t="n">
        <v>139</v>
      </c>
      <c r="S11" s="10" t="s">
        <v>174</v>
      </c>
    </row>
    <row r="12" customFormat="false" ht="15" hidden="false" customHeight="false" outlineLevel="0" collapsed="false">
      <c r="E12" s="25" t="str">
        <f aca="false">'Detallado de la inversión.'!C42</f>
        <v>Founder CEO/CTO (1000/mes)</v>
      </c>
      <c r="F12" s="25"/>
      <c r="G12" s="26" t="n">
        <f aca="false">'Detallado de la inversión.'!E42</f>
        <v>3</v>
      </c>
      <c r="H12" s="26" t="n">
        <f aca="false">'Detallado de la inversión.'!F42</f>
        <v>1000</v>
      </c>
      <c r="I12" s="26" t="n">
        <f aca="false">'Detallado de la inversión.'!G42</f>
        <v>3000</v>
      </c>
      <c r="J12" s="30" t="n">
        <f aca="false">'Detallado de la inversión.'!H42</f>
        <v>0.0267885844911955</v>
      </c>
      <c r="K12" s="26" t="n">
        <f aca="false">I12*(1+$K$10)</f>
        <v>4200</v>
      </c>
      <c r="M12" s="10" t="s">
        <v>177</v>
      </c>
      <c r="O12" s="9" t="n">
        <v>0.05</v>
      </c>
      <c r="P12" s="15" t="s">
        <v>178</v>
      </c>
      <c r="Q12" s="35"/>
      <c r="S12" s="10" t="s">
        <v>174</v>
      </c>
    </row>
    <row r="13" customFormat="false" ht="15" hidden="false" customHeight="false" outlineLevel="0" collapsed="false">
      <c r="E13" s="25" t="str">
        <f aca="false">'Detallado de la inversión.'!C43</f>
        <v>Co-CEO Head Sales&amp;Ops (1000/mes)</v>
      </c>
      <c r="F13" s="25"/>
      <c r="G13" s="26" t="n">
        <f aca="false">'Detallado de la inversión.'!E43</f>
        <v>3</v>
      </c>
      <c r="H13" s="26" t="n">
        <f aca="false">'Detallado de la inversión.'!F43</f>
        <v>1000</v>
      </c>
      <c r="I13" s="26" t="n">
        <f aca="false">'Detallado de la inversión.'!G43</f>
        <v>3000</v>
      </c>
      <c r="J13" s="30" t="n">
        <f aca="false">'Detallado de la inversión.'!H43</f>
        <v>0.0267885844911955</v>
      </c>
      <c r="K13" s="26" t="n">
        <f aca="false">I13*(1+$K$10)</f>
        <v>4200</v>
      </c>
      <c r="M13" s="10" t="s">
        <v>179</v>
      </c>
      <c r="O13" s="7" t="n">
        <v>1000</v>
      </c>
      <c r="P13" s="32" t="s">
        <v>180</v>
      </c>
      <c r="Q13" s="26" t="e">
        <f aca="false">IF('Año 1'!D19=0,0,='ESTA SI VALE'!$I$73/'Año 1'!D19)</f>
        <v>#VALUE!</v>
      </c>
      <c r="S13" s="10" t="s">
        <v>174</v>
      </c>
    </row>
    <row r="14" customFormat="false" ht="15" hidden="false" customHeight="false" outlineLevel="0" collapsed="false">
      <c r="E14" s="25" t="str">
        <f aca="false">'Detallado de la inversión.'!C44</f>
        <v>Dev junior (Flutter/Laravel) (600/mes)</v>
      </c>
      <c r="F14" s="25"/>
      <c r="G14" s="26" t="n">
        <f aca="false">'Detallado de la inversión.'!E44</f>
        <v>3</v>
      </c>
      <c r="H14" s="26" t="n">
        <f aca="false">'Detallado de la inversión.'!F44</f>
        <v>600</v>
      </c>
      <c r="I14" s="26" t="n">
        <f aca="false">'Detallado de la inversión.'!G44</f>
        <v>1800</v>
      </c>
      <c r="J14" s="30" t="n">
        <f aca="false">'Detallado de la inversión.'!H44</f>
        <v>0.0160731506947173</v>
      </c>
      <c r="K14" s="26" t="n">
        <f aca="false">I14*(1+$K$10)</f>
        <v>2520</v>
      </c>
      <c r="M14" s="10" t="s">
        <v>181</v>
      </c>
      <c r="O14" s="7" t="n">
        <v>7.2</v>
      </c>
      <c r="P14" s="32" t="s">
        <v>182</v>
      </c>
      <c r="Q14" s="26" t="n">
        <f aca="false">H55</f>
        <v>0</v>
      </c>
      <c r="S14" s="10" t="s">
        <v>174</v>
      </c>
    </row>
    <row r="15" customFormat="false" ht="15" hidden="false" customHeight="false" outlineLevel="0" collapsed="false">
      <c r="E15" s="25" t="str">
        <f aca="false">'Detallado de la inversión.'!C45</f>
        <v>4× Sales B2B (350/mes c/u base)</v>
      </c>
      <c r="F15" s="25"/>
      <c r="G15" s="26" t="n">
        <f aca="false">'Detallado de la inversión.'!E45</f>
        <v>3</v>
      </c>
      <c r="H15" s="26" t="n">
        <f aca="false">'Detallado de la inversión.'!F45</f>
        <v>1400</v>
      </c>
      <c r="I15" s="26" t="n">
        <f aca="false">'Detallado de la inversión.'!G45</f>
        <v>4200</v>
      </c>
      <c r="J15" s="30" t="n">
        <f aca="false">'Detallado de la inversión.'!H45</f>
        <v>0.0375040182876737</v>
      </c>
      <c r="K15" s="26" t="n">
        <f aca="false">I15*(1+$K$10)</f>
        <v>5880</v>
      </c>
      <c r="M15" s="10" t="s">
        <v>183</v>
      </c>
      <c r="O15" s="7" t="n">
        <v>2.8</v>
      </c>
      <c r="P15" s="32" t="s">
        <v>184</v>
      </c>
      <c r="Q15" s="26" t="n">
        <f aca="false">H55</f>
        <v>0</v>
      </c>
      <c r="S15" s="10" t="s">
        <v>174</v>
      </c>
    </row>
    <row r="16" customFormat="false" ht="15" hidden="false" customHeight="false" outlineLevel="0" collapsed="false">
      <c r="E16" s="25" t="str">
        <f aca="false">'Detallado de la inversión.'!C46</f>
        <v>CS + Community Manager (400/mes)</v>
      </c>
      <c r="F16" s="25"/>
      <c r="G16" s="26" t="n">
        <f aca="false">'Detallado de la inversión.'!E46</f>
        <v>3</v>
      </c>
      <c r="H16" s="26" t="n">
        <f aca="false">'Detallado de la inversión.'!F46</f>
        <v>400</v>
      </c>
      <c r="I16" s="26" t="n">
        <f aca="false">'Detallado de la inversión.'!G46</f>
        <v>1200</v>
      </c>
      <c r="J16" s="30" t="n">
        <f aca="false">'Detallado de la inversión.'!H46</f>
        <v>0.0107154337964782</v>
      </c>
      <c r="K16" s="26" t="n">
        <f aca="false">I16*(1+$K$10)</f>
        <v>1680</v>
      </c>
      <c r="M16" s="10" t="s">
        <v>185</v>
      </c>
      <c r="O16" s="9" t="n">
        <v>0.92</v>
      </c>
      <c r="P16" s="32" t="s">
        <v>186</v>
      </c>
      <c r="Q16" s="26" t="e">
        <f aca="false">SUM(Q13:Q15)</f>
        <v>#VALUE!</v>
      </c>
      <c r="S16" s="10" t="s">
        <v>174</v>
      </c>
    </row>
    <row r="17" customFormat="false" ht="15" hidden="false" customHeight="false" outlineLevel="0" collapsed="false">
      <c r="E17" s="25" t="str">
        <f aca="false">'Detallado de la inversión.'!C47</f>
        <v>Herramientas IA (425/mes)</v>
      </c>
      <c r="F17" s="25"/>
      <c r="G17" s="26" t="n">
        <f aca="false">'Detallado de la inversión.'!E47</f>
        <v>3</v>
      </c>
      <c r="H17" s="26" t="n">
        <f aca="false">'Detallado de la inversión.'!F47</f>
        <v>425</v>
      </c>
      <c r="I17" s="26" t="n">
        <f aca="false">'Detallado de la inversión.'!G47</f>
        <v>1275</v>
      </c>
      <c r="J17" s="30" t="n">
        <f aca="false">'Detallado de la inversión.'!H47</f>
        <v>0.0113851484087581</v>
      </c>
      <c r="K17" s="26" t="n">
        <f aca="false">I17*(1+$K$10)</f>
        <v>1785</v>
      </c>
      <c r="M17" s="10" t="s">
        <v>187</v>
      </c>
      <c r="O17" s="7" t="n">
        <v>25</v>
      </c>
      <c r="P17" s="15" t="s">
        <v>188</v>
      </c>
      <c r="Q17" s="35"/>
      <c r="S17" s="10" t="s">
        <v>189</v>
      </c>
    </row>
    <row r="18" customFormat="false" ht="15" hidden="false" customHeight="false" outlineLevel="0" collapsed="false">
      <c r="E18" s="25" t="str">
        <f aca="false">'Detallado de la inversión.'!C48</f>
        <v>Contador + Abogado (330/mes)</v>
      </c>
      <c r="F18" s="25"/>
      <c r="G18" s="26" t="n">
        <f aca="false">'Detallado de la inversión.'!E48</f>
        <v>3</v>
      </c>
      <c r="H18" s="26" t="n">
        <f aca="false">'Detallado de la inversión.'!F48</f>
        <v>330</v>
      </c>
      <c r="I18" s="26" t="n">
        <f aca="false">'Detallado de la inversión.'!G48</f>
        <v>990</v>
      </c>
      <c r="J18" s="30" t="n">
        <f aca="false">'Detallado de la inversión.'!H48</f>
        <v>0.00884023288209451</v>
      </c>
      <c r="K18" s="26" t="n">
        <f aca="false">I18*(1+$K$10)</f>
        <v>1386</v>
      </c>
      <c r="M18" s="10" t="s">
        <v>190</v>
      </c>
      <c r="O18" s="7" t="n">
        <v>40</v>
      </c>
      <c r="P18" s="32" t="s">
        <v>180</v>
      </c>
      <c r="Q18" s="26" t="e">
        <f aca="false">IF('Año 1'!D19=0,0,='ESTA SI VALE'!$I$73/'Año 1'!D19)</f>
        <v>#VALUE!</v>
      </c>
      <c r="S18" s="10" t="s">
        <v>189</v>
      </c>
    </row>
    <row r="19" customFormat="false" ht="15" hidden="false" customHeight="false" outlineLevel="0" collapsed="false">
      <c r="E19" s="27" t="str">
        <f aca="false">'Detallado de la inversión.'!C49</f>
        <v>Subtotal mano de obra Fase 0 (3 meses)</v>
      </c>
      <c r="F19" s="27"/>
      <c r="I19" s="26" t="n">
        <f aca="false">'Detallado de la inversión.'!G49</f>
        <v>15465</v>
      </c>
      <c r="J19" s="30" t="n">
        <f aca="false">'Detallado de la inversión.'!H49</f>
        <v>0.138095153052113</v>
      </c>
      <c r="K19" s="26" t="n">
        <f aca="false">SUM(K12:K18)</f>
        <v>21651</v>
      </c>
      <c r="M19" s="10" t="s">
        <v>191</v>
      </c>
      <c r="O19" s="7" t="n">
        <v>55</v>
      </c>
      <c r="P19" s="32" t="s">
        <v>182</v>
      </c>
      <c r="Q19" s="26" t="n">
        <f aca="false">H55</f>
        <v>0</v>
      </c>
      <c r="S19" s="10" t="s">
        <v>189</v>
      </c>
    </row>
    <row r="20" customFormat="false" ht="15" hidden="false" customHeight="false" outlineLevel="0" collapsed="false">
      <c r="M20" s="10" t="s">
        <v>192</v>
      </c>
      <c r="O20" s="10" t="s">
        <v>193</v>
      </c>
      <c r="P20" s="32" t="s">
        <v>184</v>
      </c>
      <c r="Q20" s="26" t="n">
        <f aca="false">H55</f>
        <v>0</v>
      </c>
      <c r="S20" s="10" t="s">
        <v>194</v>
      </c>
    </row>
    <row r="21" customFormat="false" ht="15" hidden="false" customHeight="false" outlineLevel="0" collapsed="false">
      <c r="E21" s="34" t="s">
        <v>195</v>
      </c>
      <c r="K21" s="30" t="n">
        <v>0.3</v>
      </c>
      <c r="M21" s="10" t="s">
        <v>196</v>
      </c>
      <c r="O21" s="7" t="n">
        <v>159</v>
      </c>
      <c r="P21" s="32" t="s">
        <v>186</v>
      </c>
      <c r="Q21" s="26" t="e">
        <f aca="false">SUM(Q18:Q20)</f>
        <v>#VALUE!</v>
      </c>
      <c r="S21" s="10" t="s">
        <v>197</v>
      </c>
    </row>
    <row r="22" customFormat="false" ht="15" hidden="false" customHeight="false" outlineLevel="0" collapsed="false">
      <c r="E22" s="24" t="s">
        <v>198</v>
      </c>
      <c r="F22" s="24"/>
      <c r="G22" s="24"/>
      <c r="H22" s="24"/>
      <c r="I22" s="24"/>
      <c r="P22" s="15" t="s">
        <v>199</v>
      </c>
      <c r="Q22" s="35"/>
    </row>
    <row r="23" customFormat="false" ht="15" hidden="false" customHeight="false" outlineLevel="0" collapsed="false">
      <c r="E23" s="25" t="str">
        <f aca="false">'Detallado de la inversión.'!C54</f>
        <v>Visitas comerciales Valencia (combustible / terceros)</v>
      </c>
      <c r="F23" s="25"/>
      <c r="G23" s="26" t="n">
        <f aca="false">'Detallado de la inversión.'!E54</f>
        <v>3</v>
      </c>
      <c r="H23" s="26" t="n">
        <f aca="false">'Detallado de la inversión.'!F54</f>
        <v>167</v>
      </c>
      <c r="I23" s="26" t="n">
        <f aca="false">'Detallado de la inversión.'!G54</f>
        <v>501</v>
      </c>
      <c r="J23" s="30" t="n">
        <f aca="false">'Detallado de la inversión.'!H54</f>
        <v>0.00447369361002965</v>
      </c>
      <c r="K23" s="26" t="n">
        <f aca="false">I23*(1+$K$21)</f>
        <v>651.3</v>
      </c>
      <c r="M23" s="15" t="s">
        <v>200</v>
      </c>
      <c r="N23" s="15"/>
      <c r="O23" s="15"/>
      <c r="P23" s="15" t="s">
        <v>180</v>
      </c>
      <c r="Q23" s="36" t="e">
        <f aca="false">IF('Año 1'!D19=0,0,='ESTA SI VALE'!$I$73/'Año 1'!D19)</f>
        <v>#VALUE!</v>
      </c>
    </row>
    <row r="24" customFormat="false" ht="15" hidden="false" customHeight="false" outlineLevel="0" collapsed="false">
      <c r="E24" s="25" t="str">
        <f aca="false">'Detallado de la inversión.'!C55</f>
        <v>Logística material demo (tablets, POP)</v>
      </c>
      <c r="F24" s="25"/>
      <c r="G24" s="26" t="n">
        <f aca="false">'Detallado de la inversión.'!E55</f>
        <v>1</v>
      </c>
      <c r="H24" s="26" t="n">
        <f aca="false">'Detallado de la inversión.'!F55</f>
        <v>200</v>
      </c>
      <c r="I24" s="26" t="n">
        <f aca="false">'Detallado de la inversión.'!G55</f>
        <v>200</v>
      </c>
      <c r="J24" s="30" t="n">
        <f aca="false">'Detallado de la inversión.'!H55</f>
        <v>0.00178590563274637</v>
      </c>
      <c r="K24" s="26" t="n">
        <f aca="false">I24*(1+$K$21)</f>
        <v>260</v>
      </c>
      <c r="M24" s="10" t="s">
        <v>201</v>
      </c>
      <c r="O24" s="10" t="s">
        <v>202</v>
      </c>
      <c r="P24" s="32" t="s">
        <v>182</v>
      </c>
      <c r="Q24" s="26" t="n">
        <f aca="false">H55</f>
        <v>0</v>
      </c>
      <c r="S24" s="10" t="s">
        <v>203</v>
      </c>
    </row>
    <row r="25" customFormat="false" ht="15" hidden="false" customHeight="false" outlineLevel="0" collapsed="false">
      <c r="E25" s="25" t="str">
        <f aca="false">'Detallado de la inversión.'!C56</f>
        <v>Gira medios / eventos farmacia (opcional Lean)</v>
      </c>
      <c r="F25" s="25"/>
      <c r="G25" s="26" t="n">
        <f aca="false">'Detallado de la inversión.'!E56</f>
        <v>1</v>
      </c>
      <c r="H25" s="26" t="n">
        <f aca="false">'Detallado de la inversión.'!F56</f>
        <v>350</v>
      </c>
      <c r="I25" s="26" t="n">
        <f aca="false">'Detallado de la inversión.'!G56</f>
        <v>350</v>
      </c>
      <c r="J25" s="30" t="n">
        <f aca="false">'Detallado de la inversión.'!H56</f>
        <v>0.00312533485730614</v>
      </c>
      <c r="K25" s="26" t="n">
        <f aca="false">I25*(1+$K$21)</f>
        <v>455</v>
      </c>
      <c r="M25" s="10" t="s">
        <v>204</v>
      </c>
      <c r="O25" s="7" t="n">
        <v>111988</v>
      </c>
      <c r="P25" s="26" t="s">
        <v>184</v>
      </c>
      <c r="Q25" s="26" t="n">
        <f aca="false">H55</f>
        <v>0</v>
      </c>
      <c r="S25" s="7" t="n">
        <v>600000</v>
      </c>
    </row>
    <row r="26" customFormat="false" ht="15" hidden="false" customHeight="false" outlineLevel="0" collapsed="false">
      <c r="E26" s="27" t="str">
        <f aca="false">'Detallado de la inversión.'!C57</f>
        <v>Subtotal transporte referencia Fase 0</v>
      </c>
      <c r="F26" s="27"/>
      <c r="I26" s="26" t="n">
        <f aca="false">'Detallado de la inversión.'!G57</f>
        <v>1051</v>
      </c>
      <c r="J26" s="30" t="n">
        <f aca="false">'Detallado de la inversión.'!H57</f>
        <v>0.00938493410008215</v>
      </c>
      <c r="K26" s="26" t="n">
        <f aca="false">SUM(K23:K25)</f>
        <v>1366.3</v>
      </c>
      <c r="M26" s="10" t="s">
        <v>205</v>
      </c>
      <c r="O26" s="7" t="n">
        <v>111988</v>
      </c>
      <c r="P26" s="26" t="s">
        <v>186</v>
      </c>
      <c r="Q26" s="26" t="e">
        <f aca="false">SUM(Q23:Q25)</f>
        <v>#VALUE!</v>
      </c>
      <c r="S26" s="7" t="n">
        <v>600000</v>
      </c>
    </row>
    <row r="27" customFormat="false" ht="15" hidden="false" customHeight="false" outlineLevel="0" collapsed="false">
      <c r="M27" s="10" t="s">
        <v>206</v>
      </c>
      <c r="O27" s="7" t="n">
        <v>157268</v>
      </c>
      <c r="P27" s="7" t="n">
        <v>10898</v>
      </c>
      <c r="Q27" s="7" t="n">
        <v>159</v>
      </c>
      <c r="S27" s="7" t="n">
        <v>912814</v>
      </c>
    </row>
    <row r="28" customFormat="false" ht="15" hidden="false" customHeight="false" outlineLevel="0" collapsed="false">
      <c r="E28" s="34" t="s">
        <v>207</v>
      </c>
      <c r="K28" s="30" t="n">
        <v>0</v>
      </c>
      <c r="M28" s="10" t="s">
        <v>208</v>
      </c>
      <c r="O28" s="7" t="n">
        <v>187478</v>
      </c>
      <c r="P28" s="7" t="n">
        <v>12698</v>
      </c>
      <c r="Q28" s="7" t="n">
        <v>159</v>
      </c>
      <c r="S28" s="7" t="n">
        <v>1205345</v>
      </c>
    </row>
    <row r="29" customFormat="false" ht="15" hidden="false" customHeight="false" outlineLevel="0" collapsed="false">
      <c r="E29" s="24" t="s">
        <v>209</v>
      </c>
      <c r="F29" s="24"/>
      <c r="G29" s="24"/>
      <c r="H29" s="24"/>
      <c r="I29" s="24"/>
      <c r="M29" s="10" t="s">
        <v>210</v>
      </c>
      <c r="O29" s="7" t="n">
        <v>184878</v>
      </c>
      <c r="P29" s="7" t="n">
        <v>11998</v>
      </c>
      <c r="Q29" s="7" t="n">
        <v>238</v>
      </c>
      <c r="S29" s="7" t="n">
        <v>1287681</v>
      </c>
    </row>
    <row r="30" customFormat="false" ht="15" hidden="false" customHeight="false" outlineLevel="0" collapsed="false">
      <c r="E30" s="25" t="str">
        <f aca="false">'Detallado de la inversión.'!C11</f>
        <v>Registro Mercantil + acta constitutiva</v>
      </c>
      <c r="F30" s="25"/>
      <c r="G30" s="26" t="n">
        <f aca="false">'Detallado de la inversión.'!E11</f>
        <v>1</v>
      </c>
      <c r="H30" s="26" t="n">
        <f aca="false">'Detallado de la inversión.'!F11</f>
        <v>1200</v>
      </c>
      <c r="I30" s="26" t="n">
        <f aca="false">'Detallado de la inversión.'!G11</f>
        <v>1200</v>
      </c>
      <c r="J30" s="30" t="n">
        <f aca="false">'Detallado de la inversión.'!H11</f>
        <v>0.0107154337964782</v>
      </c>
      <c r="K30" s="26" t="n">
        <f aca="false">I30*(1+$K$28)</f>
        <v>1200</v>
      </c>
    </row>
    <row r="31" customFormat="false" ht="15" hidden="false" customHeight="false" outlineLevel="0" collapsed="false">
      <c r="E31" s="25" t="str">
        <f aca="false">'Detallado de la inversión.'!C12</f>
        <v>SENIAT — inscripción / trámites RIF</v>
      </c>
      <c r="F31" s="25"/>
      <c r="G31" s="26" t="n">
        <f aca="false">'Detallado de la inversión.'!E12</f>
        <v>1</v>
      </c>
      <c r="H31" s="26" t="n">
        <f aca="false">'Detallado de la inversión.'!F12</f>
        <v>600</v>
      </c>
      <c r="I31" s="26" t="n">
        <f aca="false">'Detallado de la inversión.'!G12</f>
        <v>600</v>
      </c>
      <c r="J31" s="30" t="n">
        <f aca="false">'Detallado de la inversión.'!H12</f>
        <v>0.0053577168982391</v>
      </c>
      <c r="K31" s="26" t="n">
        <f aca="false">I31*(1+$K$28)</f>
        <v>600</v>
      </c>
      <c r="M31" s="15" t="s">
        <v>211</v>
      </c>
      <c r="N31" s="15"/>
      <c r="O31" s="15"/>
      <c r="P31" s="15"/>
      <c r="Q31" s="15"/>
    </row>
    <row r="32" customFormat="false" ht="15" hidden="false" customHeight="false" outlineLevel="0" collapsed="false">
      <c r="E32" s="25" t="str">
        <f aca="false">'Detallado de la inversión.'!C13</f>
        <v>Licencia / permisos municipales HQ</v>
      </c>
      <c r="F32" s="25"/>
      <c r="G32" s="26" t="n">
        <f aca="false">'Detallado de la inversión.'!E13</f>
        <v>1</v>
      </c>
      <c r="H32" s="26" t="n">
        <f aca="false">'Detallado de la inversión.'!F13</f>
        <v>1500</v>
      </c>
      <c r="I32" s="26" t="n">
        <f aca="false">'Detallado de la inversión.'!G13</f>
        <v>1500</v>
      </c>
      <c r="J32" s="30" t="n">
        <f aca="false">'Detallado de la inversión.'!H13</f>
        <v>0.0133942922455977</v>
      </c>
      <c r="K32" s="26" t="n">
        <f aca="false">I32*(1+$K$28)</f>
        <v>1500</v>
      </c>
      <c r="M32" s="10" t="s">
        <v>212</v>
      </c>
      <c r="O32" s="10" t="s">
        <v>213</v>
      </c>
      <c r="P32" s="10" t="s">
        <v>214</v>
      </c>
      <c r="Q32" s="10" t="s">
        <v>215</v>
      </c>
    </row>
    <row r="33" customFormat="false" ht="15" hidden="false" customHeight="false" outlineLevel="0" collapsed="false">
      <c r="E33" s="25" t="str">
        <f aca="false">'Detallado de la inversión.'!C14</f>
        <v>Permiso bomberos (local operativo)</v>
      </c>
      <c r="F33" s="25"/>
      <c r="G33" s="26" t="n">
        <f aca="false">'Detallado de la inversión.'!E14</f>
        <v>1</v>
      </c>
      <c r="H33" s="26" t="n">
        <f aca="false">'Detallado de la inversión.'!F14</f>
        <v>1100</v>
      </c>
      <c r="I33" s="26" t="n">
        <f aca="false">'Detallado de la inversión.'!G14</f>
        <v>1100</v>
      </c>
      <c r="J33" s="30" t="n">
        <f aca="false">'Detallado de la inversión.'!H14</f>
        <v>0.00982248098010501</v>
      </c>
      <c r="K33" s="26" t="n">
        <f aca="false">I33*(1+$K$28)</f>
        <v>1100</v>
      </c>
      <c r="M33" s="10" t="s">
        <v>216</v>
      </c>
      <c r="O33" s="7" t="n">
        <v>120</v>
      </c>
      <c r="P33" s="7" t="n">
        <v>40</v>
      </c>
      <c r="Q33" s="7" t="n">
        <v>25000</v>
      </c>
    </row>
    <row r="34" customFormat="false" ht="15" hidden="false" customHeight="false" outlineLevel="0" collapsed="false">
      <c r="E34" s="25" t="str">
        <f aca="false">'Detallado de la inversión.'!C15</f>
        <v>Apertura cuenta bancaria empresa</v>
      </c>
      <c r="F34" s="25"/>
      <c r="G34" s="26" t="n">
        <f aca="false">'Detallado de la inversión.'!E15</f>
        <v>1</v>
      </c>
      <c r="H34" s="26" t="n">
        <f aca="false">'Detallado de la inversión.'!F15</f>
        <v>100</v>
      </c>
      <c r="I34" s="26" t="n">
        <f aca="false">'Detallado de la inversión.'!G15</f>
        <v>100</v>
      </c>
      <c r="J34" s="30" t="n">
        <f aca="false">'Detallado de la inversión.'!H15</f>
        <v>0.000892952816373183</v>
      </c>
      <c r="K34" s="26" t="n">
        <f aca="false">I34*(1+$K$28)</f>
        <v>100</v>
      </c>
      <c r="M34" s="10" t="s">
        <v>217</v>
      </c>
      <c r="O34" s="7" t="n">
        <v>159</v>
      </c>
      <c r="P34" s="7" t="n">
        <v>50</v>
      </c>
      <c r="Q34" s="7" t="n">
        <v>40831</v>
      </c>
    </row>
    <row r="35" customFormat="false" ht="15" hidden="false" customHeight="false" outlineLevel="0" collapsed="false">
      <c r="E35" s="25" t="str">
        <f aca="false">'Detallado de la inversión.'!C16</f>
        <v>Sello digital + factura digital SENIAT</v>
      </c>
      <c r="F35" s="25"/>
      <c r="G35" s="26" t="n">
        <f aca="false">'Detallado de la inversión.'!E16</f>
        <v>1</v>
      </c>
      <c r="H35" s="26" t="n">
        <f aca="false">'Detallado de la inversión.'!F16</f>
        <v>200</v>
      </c>
      <c r="I35" s="26" t="n">
        <f aca="false">'Detallado de la inversión.'!G16</f>
        <v>200</v>
      </c>
      <c r="J35" s="30" t="n">
        <f aca="false">'Detallado de la inversión.'!H16</f>
        <v>0.00178590563274637</v>
      </c>
      <c r="K35" s="26" t="n">
        <f aca="false">I35*(1+$K$28)</f>
        <v>200</v>
      </c>
      <c r="M35" s="10" t="s">
        <v>218</v>
      </c>
      <c r="O35" s="7" t="n">
        <v>200</v>
      </c>
      <c r="P35" s="7" t="n">
        <v>55</v>
      </c>
      <c r="Q35" s="7" t="n">
        <v>52000</v>
      </c>
    </row>
    <row r="36" customFormat="false" ht="15" hidden="false" customHeight="false" outlineLevel="0" collapsed="false">
      <c r="E36" s="25" t="str">
        <f aca="false">'Detallado de la inversión.'!C17</f>
        <v>Registro marca SAPI (paralelo)</v>
      </c>
      <c r="F36" s="25"/>
      <c r="G36" s="26" t="n">
        <f aca="false">'Detallado de la inversión.'!E17</f>
        <v>1</v>
      </c>
      <c r="H36" s="26" t="n">
        <f aca="false">'Detallado de la inversión.'!F17</f>
        <v>350</v>
      </c>
      <c r="I36" s="26" t="n">
        <f aca="false">'Detallado de la inversión.'!G17</f>
        <v>350</v>
      </c>
      <c r="J36" s="30" t="n">
        <f aca="false">'Detallado de la inversión.'!H17</f>
        <v>0.00312533485730614</v>
      </c>
      <c r="K36" s="26" t="n">
        <f aca="false">I36*(1+$K$28)</f>
        <v>350</v>
      </c>
      <c r="M36" s="10" t="s">
        <v>219</v>
      </c>
      <c r="O36" s="7" t="n">
        <v>183</v>
      </c>
      <c r="P36" s="7" t="n">
        <v>50</v>
      </c>
      <c r="Q36" s="7" t="n">
        <v>49825</v>
      </c>
    </row>
    <row r="37" customFormat="false" ht="15" hidden="false" customHeight="false" outlineLevel="0" collapsed="false">
      <c r="E37" s="27" t="str">
        <f aca="false">'Detallado de la inversión.'!C18</f>
        <v>Subtotal constitución empresa</v>
      </c>
      <c r="F37" s="27"/>
      <c r="I37" s="26" t="n">
        <f aca="false">'Detallado de la inversión.'!G18</f>
        <v>5050</v>
      </c>
      <c r="J37" s="30" t="n">
        <f aca="false">'Detallado de la inversión.'!H18</f>
        <v>0.0450941172268457</v>
      </c>
      <c r="K37" s="26" t="n">
        <f aca="false">SUM(K30:K36)</f>
        <v>5050</v>
      </c>
      <c r="M37" s="10" t="s">
        <v>220</v>
      </c>
      <c r="O37" s="7" t="n">
        <v>238</v>
      </c>
      <c r="P37" s="7" t="n">
        <v>50</v>
      </c>
      <c r="Q37" s="7" t="n">
        <v>87020</v>
      </c>
    </row>
    <row r="39" customFormat="false" ht="15" hidden="false" customHeight="false" outlineLevel="0" collapsed="false">
      <c r="E39" s="34" t="s">
        <v>221</v>
      </c>
      <c r="K39" s="30" t="n">
        <v>-0.5</v>
      </c>
    </row>
    <row r="40" customFormat="false" ht="15" hidden="false" customHeight="false" outlineLevel="0" collapsed="false">
      <c r="E40" s="24" t="s">
        <v>222</v>
      </c>
      <c r="F40" s="24"/>
      <c r="G40" s="24"/>
      <c r="H40" s="24"/>
      <c r="I40" s="24"/>
    </row>
    <row r="41" customFormat="false" ht="15" hidden="false" customHeight="false" outlineLevel="0" collapsed="false">
      <c r="E41" s="25" t="str">
        <f aca="false">'Detallado de la inversión.'!C25</f>
        <v>Website landing + dominio</v>
      </c>
      <c r="F41" s="25"/>
      <c r="G41" s="26" t="n">
        <f aca="false">'Detallado de la inversión.'!E25</f>
        <v>1</v>
      </c>
      <c r="H41" s="26" t="n">
        <f aca="false">'Detallado de la inversión.'!F25</f>
        <v>800</v>
      </c>
      <c r="I41" s="26" t="n">
        <f aca="false">'Detallado de la inversión.'!G25</f>
        <v>800</v>
      </c>
      <c r="J41" s="30" t="n">
        <f aca="false">'Detallado de la inversión.'!H25</f>
        <v>0.00714362253098546</v>
      </c>
      <c r="K41" s="26" t="n">
        <f aca="false">I41*(1+$K$39)</f>
        <v>400</v>
      </c>
    </row>
    <row r="42" customFormat="false" ht="15" hidden="false" customHeight="false" outlineLevel="0" collapsed="false">
      <c r="E42" s="25" t="str">
        <f aca="false">'Detallado de la inversión.'!C26</f>
        <v>Brochures y material impreso B2B</v>
      </c>
      <c r="F42" s="25"/>
      <c r="G42" s="26" t="n">
        <f aca="false">'Detallado de la inversión.'!E26</f>
        <v>1</v>
      </c>
      <c r="H42" s="26" t="n">
        <f aca="false">'Detallado de la inversión.'!F26</f>
        <v>400</v>
      </c>
      <c r="I42" s="26" t="n">
        <f aca="false">'Detallado de la inversión.'!G26</f>
        <v>400</v>
      </c>
      <c r="J42" s="30" t="n">
        <f aca="false">'Detallado de la inversión.'!H26</f>
        <v>0.00357181126549273</v>
      </c>
      <c r="K42" s="26" t="n">
        <f aca="false">I42*(1+$K$39)</f>
        <v>200</v>
      </c>
    </row>
    <row r="43" customFormat="false" ht="15" hidden="false" customHeight="false" outlineLevel="0" collapsed="false">
      <c r="E43" s="25" t="str">
        <f aca="false">'Detallado de la inversión.'!C27</f>
        <v>Tablets demo farmacia</v>
      </c>
      <c r="F43" s="25"/>
      <c r="G43" s="26" t="n">
        <f aca="false">'Detallado de la inversión.'!E27</f>
        <v>2</v>
      </c>
      <c r="H43" s="26" t="n">
        <f aca="false">'Detallado de la inversión.'!F27</f>
        <v>350</v>
      </c>
      <c r="I43" s="26" t="n">
        <f aca="false">'Detallado de la inversión.'!G27</f>
        <v>700</v>
      </c>
      <c r="J43" s="30" t="n">
        <f aca="false">'Detallado de la inversión.'!H27</f>
        <v>0.00625066971461228</v>
      </c>
      <c r="K43" s="26" t="n">
        <f aca="false">I43*(1+$K$39)</f>
        <v>350</v>
      </c>
    </row>
    <row r="44" customFormat="false" ht="15" hidden="false" customHeight="false" outlineLevel="0" collapsed="false">
      <c r="E44" s="25" t="str">
        <f aca="false">'Detallado de la inversión.'!C28</f>
        <v>Visitas comerciales pre-Day-D</v>
      </c>
      <c r="F44" s="25"/>
      <c r="G44" s="26" t="n">
        <f aca="false">'Detallado de la inversión.'!E28</f>
        <v>1</v>
      </c>
      <c r="H44" s="26" t="n">
        <f aca="false">'Detallado de la inversión.'!F28</f>
        <v>500</v>
      </c>
      <c r="I44" s="26" t="n">
        <f aca="false">'Detallado de la inversión.'!G28</f>
        <v>500</v>
      </c>
      <c r="J44" s="30" t="n">
        <f aca="false">'Detallado de la inversión.'!H28</f>
        <v>0.00446476408186592</v>
      </c>
      <c r="K44" s="26" t="n">
        <f aca="false">I44*(1+$K$39)</f>
        <v>250</v>
      </c>
    </row>
    <row r="45" customFormat="false" ht="15" hidden="false" customHeight="false" outlineLevel="0" collapsed="false">
      <c r="E45" s="25" t="str">
        <f aca="false">'Detallado de la inversión.'!C29</f>
        <v>Reservas operativas primer mes</v>
      </c>
      <c r="F45" s="25"/>
      <c r="G45" s="26" t="n">
        <f aca="false">'Detallado de la inversión.'!E29</f>
        <v>1</v>
      </c>
      <c r="H45" s="26" t="n">
        <f aca="false">'Detallado de la inversión.'!F29</f>
        <v>608</v>
      </c>
      <c r="I45" s="26" t="n">
        <f aca="false">'Detallado de la inversión.'!G29</f>
        <v>608</v>
      </c>
      <c r="J45" s="30" t="n">
        <f aca="false">'Detallado de la inversión.'!H29</f>
        <v>0.00542915312354895</v>
      </c>
      <c r="K45" s="26" t="n">
        <f aca="false">I45*(1+$K$39)</f>
        <v>304</v>
      </c>
    </row>
    <row r="46" customFormat="false" ht="15" hidden="false" customHeight="false" outlineLevel="0" collapsed="false">
      <c r="E46" s="25" t="str">
        <f aca="false">'Detallado de la inversión.'!C30</f>
        <v>Video pitch B2B farmacia (one-shot)</v>
      </c>
      <c r="F46" s="25"/>
      <c r="G46" s="26" t="n">
        <f aca="false">'Detallado de la inversión.'!E30</f>
        <v>1</v>
      </c>
      <c r="H46" s="26" t="n">
        <f aca="false">'Detallado de la inversión.'!F30</f>
        <v>800</v>
      </c>
      <c r="I46" s="26" t="n">
        <f aca="false">'Detallado de la inversión.'!G30</f>
        <v>800</v>
      </c>
      <c r="J46" s="30" t="n">
        <f aca="false">'Detallado de la inversión.'!H30</f>
        <v>0.00714362253098546</v>
      </c>
      <c r="K46" s="26" t="n">
        <f aca="false">I46*(1+$K$39)</f>
        <v>400</v>
      </c>
    </row>
    <row r="47" customFormat="false" ht="15" hidden="false" customHeight="false" outlineLevel="0" collapsed="false">
      <c r="E47" s="27" t="str">
        <f aca="false">'Detallado de la inversión.'!C31</f>
        <v>Subtotal intro mercado Lean</v>
      </c>
      <c r="F47" s="27"/>
      <c r="I47" s="26" t="n">
        <f aca="false">'Detallado de la inversión.'!G31</f>
        <v>3808</v>
      </c>
      <c r="J47" s="30" t="n">
        <f aca="false">'Detallado de la inversión.'!H31</f>
        <v>0.0340036432474908</v>
      </c>
      <c r="K47" s="26" t="n">
        <f aca="false">I47*(1+$K$39)</f>
        <v>1904</v>
      </c>
    </row>
    <row r="49" customFormat="false" ht="15" hidden="false" customHeight="false" outlineLevel="0" collapsed="false">
      <c r="E49" s="24" t="s">
        <v>129</v>
      </c>
      <c r="F49" s="24"/>
      <c r="G49" s="24"/>
      <c r="H49" s="24"/>
      <c r="I49" s="24"/>
    </row>
    <row r="50" customFormat="false" ht="15" hidden="false" customHeight="false" outlineLevel="0" collapsed="false">
      <c r="E50" s="25" t="str">
        <f aca="false">'Detallado de la inversión.'!C34</f>
        <v>Meta Ads pre-Day-D</v>
      </c>
      <c r="F50" s="25"/>
      <c r="G50" s="26" t="n">
        <f aca="false">'Detallado de la inversión.'!E34</f>
        <v>3</v>
      </c>
      <c r="H50" s="26" t="n">
        <f aca="false">'Detallado de la inversión.'!F34</f>
        <v>400</v>
      </c>
      <c r="I50" s="26" t="n">
        <f aca="false">'Detallado de la inversión.'!G34</f>
        <v>1200</v>
      </c>
      <c r="J50" s="30" t="n">
        <f aca="false">'Detallado de la inversión.'!H34</f>
        <v>0.0107154337964782</v>
      </c>
      <c r="K50" s="26" t="n">
        <f aca="false">I50*(1+$K$39)</f>
        <v>600</v>
      </c>
    </row>
    <row r="51" customFormat="false" ht="15" hidden="false" customHeight="false" outlineLevel="0" collapsed="false">
      <c r="E51" s="25" t="str">
        <f aca="false">'Detallado de la inversión.'!C35</f>
        <v>Material POP / señalética</v>
      </c>
      <c r="F51" s="25"/>
      <c r="G51" s="26" t="n">
        <f aca="false">'Detallado de la inversión.'!E35</f>
        <v>1</v>
      </c>
      <c r="H51" s="26" t="n">
        <f aca="false">'Detallado de la inversión.'!F35</f>
        <v>600</v>
      </c>
      <c r="I51" s="26" t="n">
        <f aca="false">'Detallado de la inversión.'!G35</f>
        <v>600</v>
      </c>
      <c r="J51" s="30" t="n">
        <f aca="false">'Detallado de la inversión.'!H35</f>
        <v>0.0053577168982391</v>
      </c>
      <c r="K51" s="26" t="n">
        <f aca="false">I51*(1+$K$39)</f>
        <v>300</v>
      </c>
    </row>
    <row r="52" customFormat="false" ht="15" hidden="false" customHeight="false" outlineLevel="0" collapsed="false">
      <c r="E52" s="25" t="str">
        <f aca="false">'Detallado de la inversión.'!C36</f>
        <v>Demos B2B adicionales</v>
      </c>
      <c r="F52" s="25"/>
      <c r="G52" s="26" t="n">
        <f aca="false">'Detallado de la inversión.'!E36</f>
        <v>1</v>
      </c>
      <c r="H52" s="26" t="n">
        <f aca="false">'Detallado de la inversión.'!F36</f>
        <v>450</v>
      </c>
      <c r="I52" s="26" t="n">
        <f aca="false">'Detallado de la inversión.'!G36</f>
        <v>450</v>
      </c>
      <c r="J52" s="30" t="n">
        <f aca="false">'Detallado de la inversión.'!H36</f>
        <v>0.00401828767367932</v>
      </c>
      <c r="K52" s="26" t="n">
        <f aca="false">I52*(1+$K$39)</f>
        <v>225</v>
      </c>
    </row>
    <row r="53" customFormat="false" ht="15" hidden="false" customHeight="false" outlineLevel="0" collapsed="false">
      <c r="E53" s="27" t="str">
        <f aca="false">'Detallado de la inversión.'!C37</f>
        <v>Subtotal marketing pre-lanzamiento Lean</v>
      </c>
      <c r="F53" s="27"/>
      <c r="I53" s="26" t="n">
        <f aca="false">'Detallado de la inversión.'!G37</f>
        <v>2250</v>
      </c>
      <c r="J53" s="30" t="n">
        <f aca="false">'Detallado de la inversión.'!H37</f>
        <v>0.0200914383683966</v>
      </c>
      <c r="K53" s="26" t="n">
        <f aca="false">SUM(K41:K52)</f>
        <v>4933</v>
      </c>
    </row>
    <row r="55" customFormat="false" ht="15" hidden="false" customHeight="false" outlineLevel="0" collapsed="false">
      <c r="E55" s="15" t="s">
        <v>223</v>
      </c>
      <c r="I55" s="26" t="n">
        <f aca="false">('Detallado de la inversión.'!G31+'Detallado de la inversión.'!G37)/3</f>
        <v>2019.33333333333</v>
      </c>
      <c r="K55" s="26" t="n">
        <f aca="false">I55*(1+$K$39)</f>
        <v>1009.66666666667</v>
      </c>
    </row>
    <row r="56" customFormat="false" ht="15" hidden="false" customHeight="true" outlineLevel="0" collapsed="false">
      <c r="E56" s="16" t="s">
        <v>224</v>
      </c>
      <c r="F56" s="16"/>
      <c r="G56" s="16"/>
      <c r="H56" s="16"/>
      <c r="I56" s="16"/>
      <c r="J56" s="16"/>
    </row>
    <row r="58" customFormat="false" ht="15" hidden="false" customHeight="false" outlineLevel="0" collapsed="false">
      <c r="E58" s="15" t="s">
        <v>225</v>
      </c>
      <c r="F58" s="15"/>
      <c r="G58" s="15"/>
      <c r="H58" s="15"/>
      <c r="I58" s="15"/>
      <c r="J58" s="15"/>
      <c r="K58" s="15"/>
      <c r="O58" s="37" t="s">
        <v>226</v>
      </c>
    </row>
    <row r="59" customFormat="false" ht="15" hidden="false" customHeight="false" outlineLevel="0" collapsed="false">
      <c r="E59" s="10" t="s">
        <v>169</v>
      </c>
      <c r="I59" s="10" t="s">
        <v>227</v>
      </c>
      <c r="K59" s="10" t="s">
        <v>171</v>
      </c>
      <c r="O59" s="2" t="s">
        <v>228</v>
      </c>
      <c r="P59" s="2" t="s">
        <v>229</v>
      </c>
      <c r="Q59" s="2" t="s">
        <v>230</v>
      </c>
      <c r="R59" s="2" t="s">
        <v>231</v>
      </c>
      <c r="S59" s="2" t="s">
        <v>232</v>
      </c>
      <c r="T59" s="2" t="s">
        <v>233</v>
      </c>
      <c r="U59" s="2" t="s">
        <v>234</v>
      </c>
      <c r="V59" s="2" t="s">
        <v>235</v>
      </c>
      <c r="W59" s="2" t="s">
        <v>212</v>
      </c>
    </row>
    <row r="60" customFormat="false" ht="15" hidden="false" customHeight="false" outlineLevel="0" collapsed="false">
      <c r="E60" s="10" t="s">
        <v>236</v>
      </c>
      <c r="I60" s="7" t="n">
        <v>600</v>
      </c>
      <c r="K60" s="10" t="s">
        <v>237</v>
      </c>
      <c r="O60" s="26" t="n">
        <v>1</v>
      </c>
      <c r="P60" s="26" t="n">
        <f aca="false">IF(Q60=0,0,'Año 1'!C40/Q60)</f>
        <v>200.275</v>
      </c>
      <c r="Q60" s="26" t="n">
        <f aca="false">'Año 1'!C19</f>
        <v>40</v>
      </c>
      <c r="R60" s="26" t="n">
        <f aca="false">'Año 1'!C40</f>
        <v>8011</v>
      </c>
      <c r="S60" s="26" t="n">
        <f aca="false">IF(Q60=0,0,'Año 1'!C25/Q60)</f>
        <v>37.5</v>
      </c>
      <c r="T60" s="26" t="n">
        <f aca="false">'Año 1'!C25</f>
        <v>1500</v>
      </c>
      <c r="U60" s="26" t="n">
        <f aca="false">S60-P60</f>
        <v>-162.775</v>
      </c>
      <c r="V60" s="26" t="n">
        <f aca="false">'Año 1'!C42</f>
        <v>-6511</v>
      </c>
      <c r="W60" s="32" t="s">
        <v>217</v>
      </c>
    </row>
    <row r="61" customFormat="false" ht="15" hidden="false" customHeight="false" outlineLevel="0" collapsed="false">
      <c r="E61" s="10" t="s">
        <v>238</v>
      </c>
      <c r="I61" s="7" t="n">
        <v>1400</v>
      </c>
      <c r="K61" s="10" t="s">
        <v>239</v>
      </c>
      <c r="O61" s="26" t="n">
        <v>2</v>
      </c>
      <c r="P61" s="26" t="n">
        <f aca="false">IF(Q61=0,0,'Año 1'!D40/Q61)</f>
        <v>157.078431372549</v>
      </c>
      <c r="Q61" s="26" t="n">
        <f aca="false">'Año 1'!D19</f>
        <v>51</v>
      </c>
      <c r="R61" s="26" t="n">
        <f aca="false">'Año 1'!D40</f>
        <v>8011</v>
      </c>
      <c r="S61" s="26" t="n">
        <f aca="false">IF(Q61=0,0,'Año 1'!D25/Q61)</f>
        <v>42.5098039215686</v>
      </c>
      <c r="T61" s="26" t="n">
        <f aca="false">'Año 1'!D25</f>
        <v>2168</v>
      </c>
      <c r="U61" s="26" t="n">
        <f aca="false">S61-P61</f>
        <v>-114.56862745098</v>
      </c>
      <c r="V61" s="26" t="n">
        <f aca="false">'Año 1'!D42</f>
        <v>-5843</v>
      </c>
      <c r="W61" s="32" t="s">
        <v>217</v>
      </c>
    </row>
    <row r="62" customFormat="false" ht="15" hidden="false" customHeight="false" outlineLevel="0" collapsed="false">
      <c r="E62" s="10" t="s">
        <v>83</v>
      </c>
      <c r="I62" s="7" t="n">
        <v>400</v>
      </c>
      <c r="O62" s="26" t="n">
        <v>3</v>
      </c>
      <c r="P62" s="26" t="n">
        <f aca="false">IF(Q62=0,0,'Año 1'!E40/Q62)</f>
        <v>134.629032258065</v>
      </c>
      <c r="Q62" s="26" t="n">
        <f aca="false">'Año 1'!E19</f>
        <v>62</v>
      </c>
      <c r="R62" s="26" t="n">
        <f aca="false">'Año 1'!E40</f>
        <v>8347</v>
      </c>
      <c r="S62" s="26" t="n">
        <f aca="false">IF(Q62=0,0,'Año 1'!E25/Q62)</f>
        <v>50</v>
      </c>
      <c r="T62" s="26" t="n">
        <f aca="false">'Año 1'!E25</f>
        <v>3100</v>
      </c>
      <c r="U62" s="26" t="n">
        <f aca="false">S62-P62</f>
        <v>-84.6290322580645</v>
      </c>
      <c r="V62" s="26" t="n">
        <f aca="false">'Año 1'!E42</f>
        <v>-5247</v>
      </c>
      <c r="W62" s="32" t="s">
        <v>217</v>
      </c>
    </row>
    <row r="63" customFormat="false" ht="15" hidden="false" customHeight="false" outlineLevel="0" collapsed="false">
      <c r="E63" s="10" t="s">
        <v>240</v>
      </c>
      <c r="I63" s="7" t="n">
        <v>2000</v>
      </c>
      <c r="O63" s="26" t="n">
        <v>4</v>
      </c>
      <c r="P63" s="26" t="n">
        <f aca="false">IF(Q63=0,0,'Año 1'!F40/Q63)</f>
        <v>112.797297297297</v>
      </c>
      <c r="Q63" s="26" t="n">
        <f aca="false">'Año 1'!F19</f>
        <v>74</v>
      </c>
      <c r="R63" s="26" t="n">
        <f aca="false">'Año 1'!F40</f>
        <v>8347</v>
      </c>
      <c r="S63" s="26" t="n">
        <f aca="false">IF(Q63=0,0,'Año 1'!F25/Q63)</f>
        <v>50</v>
      </c>
      <c r="T63" s="26" t="n">
        <f aca="false">'Año 1'!F25</f>
        <v>3700</v>
      </c>
      <c r="U63" s="26" t="n">
        <f aca="false">S63-P63</f>
        <v>-62.7972972972973</v>
      </c>
      <c r="V63" s="26" t="n">
        <f aca="false">'Año 1'!F42</f>
        <v>-4647</v>
      </c>
      <c r="W63" s="32" t="s">
        <v>217</v>
      </c>
    </row>
    <row r="64" customFormat="false" ht="15" hidden="false" customHeight="false" outlineLevel="0" collapsed="false">
      <c r="E64" s="10" t="s">
        <v>84</v>
      </c>
      <c r="I64" s="7" t="n">
        <v>425</v>
      </c>
      <c r="O64" s="26" t="n">
        <v>5</v>
      </c>
      <c r="P64" s="26" t="n">
        <f aca="false">IF(Q64=0,0,'Año 1'!G40/Q64)</f>
        <v>98.2</v>
      </c>
      <c r="Q64" s="26" t="n">
        <f aca="false">'Año 1'!G19</f>
        <v>85</v>
      </c>
      <c r="R64" s="26" t="n">
        <f aca="false">'Año 1'!G40</f>
        <v>8347</v>
      </c>
      <c r="S64" s="26" t="n">
        <f aca="false">IF(Q64=0,0,'Año 1'!G25/Q64)</f>
        <v>50</v>
      </c>
      <c r="T64" s="26" t="n">
        <f aca="false">'Año 1'!G25</f>
        <v>4250</v>
      </c>
      <c r="U64" s="26" t="n">
        <f aca="false">S64-P64</f>
        <v>-48.2</v>
      </c>
      <c r="V64" s="26" t="n">
        <f aca="false">'Año 1'!G42</f>
        <v>-4097</v>
      </c>
      <c r="W64" s="32" t="s">
        <v>217</v>
      </c>
    </row>
    <row r="65" customFormat="false" ht="15" hidden="false" customHeight="false" outlineLevel="0" collapsed="false">
      <c r="E65" s="10" t="s">
        <v>85</v>
      </c>
      <c r="I65" s="7" t="n">
        <v>330</v>
      </c>
      <c r="O65" s="26" t="n">
        <v>6</v>
      </c>
      <c r="P65" s="26" t="n">
        <f aca="false">IF(Q65=0,0,'Año 1'!H40/Q65)</f>
        <v>86.0515463917526</v>
      </c>
      <c r="Q65" s="26" t="n">
        <f aca="false">'Año 1'!H19</f>
        <v>97</v>
      </c>
      <c r="R65" s="26" t="n">
        <f aca="false">'Año 1'!H40</f>
        <v>8347</v>
      </c>
      <c r="S65" s="26" t="n">
        <f aca="false">IF(Q65=0,0,'Año 1'!H25/Q65)</f>
        <v>50</v>
      </c>
      <c r="T65" s="26" t="n">
        <f aca="false">'Año 1'!H25</f>
        <v>4850</v>
      </c>
      <c r="U65" s="26" t="n">
        <f aca="false">S65-P65</f>
        <v>-36.0515463917526</v>
      </c>
      <c r="V65" s="26" t="n">
        <f aca="false">'Año 1'!H42</f>
        <v>-3497</v>
      </c>
      <c r="W65" s="32" t="s">
        <v>217</v>
      </c>
    </row>
    <row r="66" customFormat="false" ht="15" hidden="false" customHeight="false" outlineLevel="0" collapsed="false">
      <c r="E66" s="10" t="s">
        <v>89</v>
      </c>
      <c r="I66" s="7" t="n">
        <v>500</v>
      </c>
      <c r="O66" s="26" t="n">
        <v>7</v>
      </c>
      <c r="P66" s="26" t="n">
        <f aca="false">IF(Q66=0,0,'Año 1'!I40/Q66)</f>
        <v>73.8888888888889</v>
      </c>
      <c r="Q66" s="26" t="n">
        <f aca="false">'Año 1'!I19</f>
        <v>108</v>
      </c>
      <c r="R66" s="26" t="n">
        <f aca="false">'Año 1'!I40</f>
        <v>7980</v>
      </c>
      <c r="S66" s="26" t="n">
        <f aca="false">IF(Q66=0,0,'Año 1'!I25/Q66)</f>
        <v>50</v>
      </c>
      <c r="T66" s="26" t="n">
        <f aca="false">'Año 1'!I25</f>
        <v>5400</v>
      </c>
      <c r="U66" s="26" t="n">
        <f aca="false">S66-P66</f>
        <v>-23.8888888888889</v>
      </c>
      <c r="V66" s="26" t="n">
        <f aca="false">'Año 1'!I42</f>
        <v>-2580</v>
      </c>
      <c r="W66" s="32" t="s">
        <v>217</v>
      </c>
    </row>
    <row r="67" customFormat="false" ht="15" hidden="false" customHeight="false" outlineLevel="0" collapsed="false">
      <c r="E67" s="10" t="s">
        <v>91</v>
      </c>
      <c r="I67" s="7" t="n">
        <v>80</v>
      </c>
      <c r="K67" s="10" t="s">
        <v>241</v>
      </c>
      <c r="O67" s="26" t="n">
        <v>8</v>
      </c>
      <c r="P67" s="26" t="n">
        <f aca="false">IF(Q67=0,0,'Año 1'!J40/Q67)</f>
        <v>67.0588235294118</v>
      </c>
      <c r="Q67" s="26" t="n">
        <f aca="false">'Año 1'!J19</f>
        <v>119</v>
      </c>
      <c r="R67" s="26" t="n">
        <f aca="false">'Año 1'!J40</f>
        <v>7980</v>
      </c>
      <c r="S67" s="26" t="n">
        <f aca="false">IF(Q67=0,0,'Año 1'!J25/Q67)</f>
        <v>50</v>
      </c>
      <c r="T67" s="26" t="n">
        <f aca="false">'Año 1'!J25</f>
        <v>5950</v>
      </c>
      <c r="U67" s="26" t="n">
        <f aca="false">S67-P67</f>
        <v>-17.0588235294118</v>
      </c>
      <c r="V67" s="26" t="n">
        <f aca="false">'Año 1'!J42</f>
        <v>-2030</v>
      </c>
      <c r="W67" s="32" t="s">
        <v>217</v>
      </c>
    </row>
    <row r="68" customFormat="false" ht="15" hidden="false" customHeight="false" outlineLevel="0" collapsed="false">
      <c r="E68" s="10" t="s">
        <v>93</v>
      </c>
      <c r="I68" s="7" t="n">
        <v>154</v>
      </c>
      <c r="K68" s="10" t="s">
        <v>241</v>
      </c>
      <c r="O68" s="26" t="n">
        <v>9</v>
      </c>
      <c r="P68" s="26" t="n">
        <f aca="false">IF(Q68=0,0,'Año 1'!K40/Q68)</f>
        <v>61.3846153846154</v>
      </c>
      <c r="Q68" s="26" t="n">
        <f aca="false">'Año 1'!K19</f>
        <v>130</v>
      </c>
      <c r="R68" s="26" t="n">
        <f aca="false">'Año 1'!K40</f>
        <v>7980</v>
      </c>
      <c r="S68" s="26" t="n">
        <f aca="false">IF(Q68=0,0,'Año 1'!K25/Q68)</f>
        <v>50</v>
      </c>
      <c r="T68" s="26" t="n">
        <f aca="false">'Año 1'!K25</f>
        <v>6500</v>
      </c>
      <c r="U68" s="26" t="n">
        <f aca="false">S68-P68</f>
        <v>-11.3846153846154</v>
      </c>
      <c r="V68" s="26" t="n">
        <f aca="false">'Año 1'!K42</f>
        <v>-1480</v>
      </c>
      <c r="W68" s="32" t="s">
        <v>217</v>
      </c>
    </row>
    <row r="69" customFormat="false" ht="15" hidden="false" customHeight="false" outlineLevel="0" collapsed="false">
      <c r="E69" s="10" t="s">
        <v>99</v>
      </c>
      <c r="I69" s="7" t="n">
        <v>650</v>
      </c>
      <c r="K69" s="10" t="s">
        <v>242</v>
      </c>
      <c r="O69" s="26" t="n">
        <v>10</v>
      </c>
      <c r="P69" s="26" t="n">
        <f aca="false">IF(Q69=0,0,'Año 1'!L40/Q69)</f>
        <v>56.5957446808511</v>
      </c>
      <c r="Q69" s="26" t="n">
        <f aca="false">'Año 1'!L19</f>
        <v>141</v>
      </c>
      <c r="R69" s="26" t="n">
        <f aca="false">'Año 1'!L40</f>
        <v>7980</v>
      </c>
      <c r="S69" s="26" t="n">
        <f aca="false">IF(Q69=0,0,'Año 1'!L25/Q69)</f>
        <v>50</v>
      </c>
      <c r="T69" s="26" t="n">
        <f aca="false">'Año 1'!L25</f>
        <v>7050</v>
      </c>
      <c r="U69" s="26" t="n">
        <f aca="false">S69-P69</f>
        <v>-6.59574468085106</v>
      </c>
      <c r="V69" s="26" t="n">
        <f aca="false">'Año 1'!L42</f>
        <v>-930</v>
      </c>
      <c r="W69" s="32" t="s">
        <v>217</v>
      </c>
    </row>
    <row r="70" customFormat="false" ht="15" hidden="false" customHeight="false" outlineLevel="0" collapsed="false">
      <c r="E70" s="10" t="s">
        <v>101</v>
      </c>
      <c r="I70" s="7" t="n">
        <v>292</v>
      </c>
      <c r="O70" s="26" t="n">
        <v>11</v>
      </c>
      <c r="P70" s="26" t="n">
        <f aca="false">IF(Q70=0,0,'Año 1'!M40/Q70)</f>
        <v>52.8476821192053</v>
      </c>
      <c r="Q70" s="26" t="n">
        <f aca="false">'Año 1'!M19</f>
        <v>151</v>
      </c>
      <c r="R70" s="26" t="n">
        <f aca="false">'Año 1'!M40</f>
        <v>7980</v>
      </c>
      <c r="S70" s="26" t="n">
        <f aca="false">IF(Q70=0,0,'Año 1'!M25/Q70)</f>
        <v>50</v>
      </c>
      <c r="T70" s="26" t="n">
        <f aca="false">'Año 1'!M25</f>
        <v>7550</v>
      </c>
      <c r="U70" s="26" t="n">
        <f aca="false">S70-P70</f>
        <v>-2.8476821192053</v>
      </c>
      <c r="V70" s="26" t="n">
        <f aca="false">'Año 1'!M42</f>
        <v>-430</v>
      </c>
      <c r="W70" s="32" t="s">
        <v>217</v>
      </c>
    </row>
    <row r="71" customFormat="false" ht="15" hidden="false" customHeight="false" outlineLevel="0" collapsed="false">
      <c r="E71" s="10" t="s">
        <v>103</v>
      </c>
      <c r="I71" s="7" t="n">
        <v>1277</v>
      </c>
      <c r="K71" s="10" t="s">
        <v>243</v>
      </c>
      <c r="O71" s="26" t="n">
        <v>12</v>
      </c>
      <c r="P71" s="26" t="n">
        <f aca="false">IF(Q71=0,0,'Año 1'!N40/Q71)</f>
        <v>50.188679245283</v>
      </c>
      <c r="Q71" s="26" t="n">
        <f aca="false">'Año 1'!N19</f>
        <v>159</v>
      </c>
      <c r="R71" s="26" t="n">
        <f aca="false">'Año 1'!N40</f>
        <v>7980</v>
      </c>
      <c r="S71" s="26" t="n">
        <f aca="false">IF(Q71=0,0,'Año 1'!N25/Q71)</f>
        <v>50</v>
      </c>
      <c r="T71" s="26" t="n">
        <f aca="false">'Año 1'!N25</f>
        <v>7950</v>
      </c>
      <c r="U71" s="26" t="n">
        <f aca="false">S71-P71</f>
        <v>-0.188679245283019</v>
      </c>
      <c r="V71" s="26" t="n">
        <f aca="false">'Año 1'!N42</f>
        <v>-30</v>
      </c>
      <c r="W71" s="32" t="s">
        <v>217</v>
      </c>
    </row>
    <row r="72" customFormat="false" ht="15" hidden="false" customHeight="false" outlineLevel="0" collapsed="false">
      <c r="E72" s="18" t="s">
        <v>106</v>
      </c>
      <c r="I72" s="7" t="n">
        <v>617</v>
      </c>
      <c r="K72" s="10" t="s">
        <v>244</v>
      </c>
      <c r="O72" s="3" t="s">
        <v>245</v>
      </c>
      <c r="V72" s="7" t="n">
        <f aca="false">SUM(V60:V71)</f>
        <v>-37322</v>
      </c>
    </row>
    <row r="73" customFormat="false" ht="15" hidden="false" customHeight="false" outlineLevel="0" collapsed="false">
      <c r="E73" s="3" t="s">
        <v>246</v>
      </c>
      <c r="I73" s="7" t="n">
        <f aca="false">SUM(I60:I70)+I71</f>
        <v>8108</v>
      </c>
    </row>
    <row r="74" customFormat="false" ht="15" hidden="false" customHeight="false" outlineLevel="0" collapsed="false">
      <c r="E74" s="3" t="s">
        <v>247</v>
      </c>
      <c r="O74" s="3" t="s">
        <v>248</v>
      </c>
    </row>
    <row r="75" customFormat="false" ht="15" hidden="false" customHeight="false" outlineLevel="0" collapsed="false">
      <c r="E75" s="10" t="s">
        <v>249</v>
      </c>
      <c r="O75" s="10" t="s">
        <v>228</v>
      </c>
      <c r="Q75" s="10" t="s">
        <v>250</v>
      </c>
      <c r="R75" s="10" t="s">
        <v>251</v>
      </c>
      <c r="S75" s="10" t="s">
        <v>214</v>
      </c>
      <c r="T75" s="10" t="s">
        <v>252</v>
      </c>
      <c r="V75" s="10" t="s">
        <v>253</v>
      </c>
    </row>
    <row r="76" customFormat="false" ht="15" hidden="false" customHeight="false" outlineLevel="0" collapsed="false">
      <c r="E76" s="17" t="s">
        <v>254</v>
      </c>
      <c r="O76" s="7" t="n">
        <v>1</v>
      </c>
      <c r="Q76" s="7" t="n">
        <f aca="false">'Año 1'!C19</f>
        <v>40</v>
      </c>
      <c r="R76" s="7" t="n">
        <f aca="false">'Año 1'!C40</f>
        <v>8011</v>
      </c>
      <c r="S76" s="7" t="n">
        <v>40</v>
      </c>
      <c r="T76" s="7" t="n">
        <f aca="false">Q76*S76</f>
        <v>1600</v>
      </c>
      <c r="V76" s="7" t="n">
        <f aca="false">T76-R76</f>
        <v>-6411</v>
      </c>
      <c r="W76" s="38" t="s">
        <v>255</v>
      </c>
    </row>
    <row r="77" customFormat="false" ht="15" hidden="false" customHeight="false" outlineLevel="0" collapsed="false">
      <c r="O77" s="7" t="n">
        <v>2</v>
      </c>
      <c r="Q77" s="7" t="n">
        <f aca="false">'Año 1'!D19</f>
        <v>51</v>
      </c>
      <c r="R77" s="7" t="n">
        <f aca="false">'Año 1'!D40</f>
        <v>8011</v>
      </c>
      <c r="S77" s="7" t="n">
        <v>40</v>
      </c>
      <c r="T77" s="7" t="n">
        <f aca="false">Q77*S77</f>
        <v>2040</v>
      </c>
      <c r="V77" s="7" t="n">
        <f aca="false">T77-R77</f>
        <v>-5971</v>
      </c>
      <c r="W77" s="38" t="s">
        <v>255</v>
      </c>
    </row>
    <row r="78" customFormat="false" ht="15" hidden="false" customHeight="false" outlineLevel="0" collapsed="false">
      <c r="O78" s="7" t="n">
        <v>3</v>
      </c>
      <c r="Q78" s="7" t="n">
        <f aca="false">'Año 1'!E19</f>
        <v>62</v>
      </c>
      <c r="R78" s="7" t="n">
        <f aca="false">'Año 1'!E40</f>
        <v>8347</v>
      </c>
      <c r="S78" s="7" t="n">
        <v>40</v>
      </c>
      <c r="T78" s="7" t="n">
        <f aca="false">Q78*S78</f>
        <v>2480</v>
      </c>
      <c r="V78" s="7" t="n">
        <f aca="false">T78-R78</f>
        <v>-5867</v>
      </c>
      <c r="W78" s="38" t="s">
        <v>255</v>
      </c>
    </row>
    <row r="79" customFormat="false" ht="15" hidden="false" customHeight="false" outlineLevel="0" collapsed="false">
      <c r="O79" s="7" t="n">
        <v>4</v>
      </c>
      <c r="Q79" s="7" t="n">
        <f aca="false">'Año 1'!F19</f>
        <v>74</v>
      </c>
      <c r="R79" s="7" t="n">
        <f aca="false">'Año 1'!F40</f>
        <v>8347</v>
      </c>
      <c r="S79" s="7" t="n">
        <v>40</v>
      </c>
      <c r="T79" s="7" t="n">
        <f aca="false">Q79*S79</f>
        <v>2960</v>
      </c>
      <c r="V79" s="7" t="n">
        <f aca="false">T79-R79</f>
        <v>-5387</v>
      </c>
      <c r="W79" s="38" t="s">
        <v>255</v>
      </c>
    </row>
    <row r="80" customFormat="false" ht="15" hidden="false" customHeight="false" outlineLevel="0" collapsed="false">
      <c r="O80" s="7" t="n">
        <v>5</v>
      </c>
      <c r="Q80" s="7" t="n">
        <f aca="false">'Año 1'!G19</f>
        <v>85</v>
      </c>
      <c r="R80" s="7" t="n">
        <f aca="false">'Año 1'!G40</f>
        <v>8347</v>
      </c>
      <c r="S80" s="7" t="n">
        <v>40</v>
      </c>
      <c r="T80" s="7" t="n">
        <f aca="false">Q80*S80</f>
        <v>3400</v>
      </c>
      <c r="V80" s="7" t="n">
        <f aca="false">T80-R80</f>
        <v>-4947</v>
      </c>
      <c r="W80" s="38" t="s">
        <v>255</v>
      </c>
    </row>
    <row r="81" customFormat="false" ht="15" hidden="false" customHeight="false" outlineLevel="0" collapsed="false">
      <c r="O81" s="7" t="n">
        <v>6</v>
      </c>
      <c r="Q81" s="7" t="n">
        <f aca="false">'Año 1'!H19</f>
        <v>97</v>
      </c>
      <c r="R81" s="7" t="n">
        <f aca="false">'Año 1'!H40</f>
        <v>8347</v>
      </c>
      <c r="S81" s="7" t="n">
        <v>40</v>
      </c>
      <c r="T81" s="7" t="n">
        <f aca="false">Q81*S81</f>
        <v>3880</v>
      </c>
      <c r="V81" s="7" t="n">
        <f aca="false">T81-R81</f>
        <v>-4467</v>
      </c>
      <c r="W81" s="38" t="s">
        <v>255</v>
      </c>
    </row>
    <row r="82" customFormat="false" ht="15" hidden="false" customHeight="false" outlineLevel="0" collapsed="false">
      <c r="O82" s="7" t="n">
        <v>7</v>
      </c>
      <c r="Q82" s="7" t="n">
        <f aca="false">'Año 1'!I19</f>
        <v>108</v>
      </c>
      <c r="R82" s="7" t="n">
        <f aca="false">'Año 1'!I40</f>
        <v>7980</v>
      </c>
      <c r="S82" s="7" t="n">
        <v>40</v>
      </c>
      <c r="T82" s="7" t="n">
        <f aca="false">Q82*S82</f>
        <v>4320</v>
      </c>
      <c r="V82" s="7" t="n">
        <f aca="false">T82-R82</f>
        <v>-3660</v>
      </c>
      <c r="W82" s="38" t="s">
        <v>255</v>
      </c>
    </row>
    <row r="83" customFormat="false" ht="15" hidden="false" customHeight="false" outlineLevel="0" collapsed="false">
      <c r="O83" s="7" t="n">
        <v>8</v>
      </c>
      <c r="Q83" s="7" t="n">
        <f aca="false">'Año 1'!J19</f>
        <v>119</v>
      </c>
      <c r="R83" s="7" t="n">
        <f aca="false">'Año 1'!J40</f>
        <v>7980</v>
      </c>
      <c r="S83" s="7" t="n">
        <v>40</v>
      </c>
      <c r="T83" s="7" t="n">
        <f aca="false">Q83*S83</f>
        <v>4760</v>
      </c>
      <c r="V83" s="7" t="n">
        <f aca="false">T83-R83</f>
        <v>-3220</v>
      </c>
      <c r="W83" s="38" t="s">
        <v>255</v>
      </c>
    </row>
    <row r="84" customFormat="false" ht="15" hidden="false" customHeight="false" outlineLevel="0" collapsed="false">
      <c r="O84" s="7" t="n">
        <v>9</v>
      </c>
      <c r="Q84" s="7" t="n">
        <f aca="false">'Año 1'!K19</f>
        <v>130</v>
      </c>
      <c r="R84" s="7" t="n">
        <f aca="false">'Año 1'!K40</f>
        <v>7980</v>
      </c>
      <c r="S84" s="7" t="n">
        <v>40</v>
      </c>
      <c r="T84" s="7" t="n">
        <f aca="false">Q84*S84</f>
        <v>5200</v>
      </c>
      <c r="V84" s="7" t="n">
        <f aca="false">T84-R84</f>
        <v>-2780</v>
      </c>
      <c r="W84" s="38" t="s">
        <v>255</v>
      </c>
    </row>
    <row r="85" customFormat="false" ht="15" hidden="false" customHeight="false" outlineLevel="0" collapsed="false">
      <c r="O85" s="7" t="n">
        <v>10</v>
      </c>
      <c r="Q85" s="7" t="n">
        <f aca="false">'Año 1'!L19</f>
        <v>141</v>
      </c>
      <c r="R85" s="7" t="n">
        <f aca="false">'Año 1'!L40</f>
        <v>7980</v>
      </c>
      <c r="S85" s="7" t="n">
        <v>40</v>
      </c>
      <c r="T85" s="7" t="n">
        <f aca="false">Q85*S85</f>
        <v>5640</v>
      </c>
      <c r="V85" s="7" t="n">
        <f aca="false">T85-R85</f>
        <v>-2340</v>
      </c>
      <c r="W85" s="38" t="s">
        <v>255</v>
      </c>
    </row>
    <row r="86" customFormat="false" ht="15" hidden="false" customHeight="false" outlineLevel="0" collapsed="false">
      <c r="O86" s="7" t="n">
        <v>11</v>
      </c>
      <c r="Q86" s="7" t="n">
        <f aca="false">'Año 1'!M19</f>
        <v>151</v>
      </c>
      <c r="R86" s="7" t="n">
        <f aca="false">'Año 1'!M40</f>
        <v>7980</v>
      </c>
      <c r="S86" s="7" t="n">
        <v>40</v>
      </c>
      <c r="T86" s="7" t="n">
        <f aca="false">Q86*S86</f>
        <v>6040</v>
      </c>
      <c r="V86" s="7" t="n">
        <f aca="false">T86-R86</f>
        <v>-1940</v>
      </c>
      <c r="W86" s="38" t="s">
        <v>255</v>
      </c>
    </row>
    <row r="87" customFormat="false" ht="15" hidden="false" customHeight="false" outlineLevel="0" collapsed="false">
      <c r="O87" s="7" t="n">
        <v>12</v>
      </c>
      <c r="Q87" s="7" t="n">
        <f aca="false">'Año 1'!N19</f>
        <v>159</v>
      </c>
      <c r="R87" s="7" t="n">
        <f aca="false">'Año 1'!N40</f>
        <v>7980</v>
      </c>
      <c r="S87" s="7" t="n">
        <v>40</v>
      </c>
      <c r="T87" s="7" t="n">
        <f aca="false">Q87*S87</f>
        <v>6360</v>
      </c>
      <c r="V87" s="7" t="n">
        <f aca="false">T87-R87</f>
        <v>-1620</v>
      </c>
      <c r="W87" s="38" t="s">
        <v>255</v>
      </c>
    </row>
    <row r="88" customFormat="false" ht="15" hidden="false" customHeight="false" outlineLevel="0" collapsed="false">
      <c r="O88" s="3" t="s">
        <v>256</v>
      </c>
      <c r="V88" s="7" t="n">
        <f aca="false">SUM(V76:V87)</f>
        <v>-48610</v>
      </c>
    </row>
  </sheetData>
  <mergeCells count="39">
    <mergeCell ref="E3:J3"/>
    <mergeCell ref="E9:F9"/>
    <mergeCell ref="E11:I11"/>
    <mergeCell ref="E12:F12"/>
    <mergeCell ref="E13:F13"/>
    <mergeCell ref="E14:F14"/>
    <mergeCell ref="E15:F15"/>
    <mergeCell ref="E16:F16"/>
    <mergeCell ref="E17:F17"/>
    <mergeCell ref="E18:F18"/>
    <mergeCell ref="E19:F19"/>
    <mergeCell ref="E22:I22"/>
    <mergeCell ref="E23:F23"/>
    <mergeCell ref="E24:F24"/>
    <mergeCell ref="E25:F25"/>
    <mergeCell ref="E26:F26"/>
    <mergeCell ref="E29:I29"/>
    <mergeCell ref="E30:F30"/>
    <mergeCell ref="E31:F31"/>
    <mergeCell ref="E32:F32"/>
    <mergeCell ref="E33:F33"/>
    <mergeCell ref="E34:F34"/>
    <mergeCell ref="E35:F35"/>
    <mergeCell ref="E36:F36"/>
    <mergeCell ref="E37:F37"/>
    <mergeCell ref="E40:I40"/>
    <mergeCell ref="E41:F41"/>
    <mergeCell ref="E42:F42"/>
    <mergeCell ref="E43:F43"/>
    <mergeCell ref="E44:F44"/>
    <mergeCell ref="E45:F45"/>
    <mergeCell ref="E46:F46"/>
    <mergeCell ref="E47:F47"/>
    <mergeCell ref="E49:I49"/>
    <mergeCell ref="E50:F50"/>
    <mergeCell ref="E51:F51"/>
    <mergeCell ref="E52:F52"/>
    <mergeCell ref="E53:F53"/>
    <mergeCell ref="E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5" topLeftCell="C31" activePane="bottomRight" state="frozen"/>
      <selection pane="topLeft" activeCell="A1" activeCellId="0" sqref="A1"/>
      <selection pane="topRight" activeCell="C1" activeCellId="0" sqref="C1"/>
      <selection pane="bottomLeft" activeCell="A31" activeCellId="0" sqref="A3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58.89"/>
    <col collapsed="false" customWidth="true" hidden="false" outlineLevel="0" max="3" min="3" style="0" width="25.51"/>
    <col collapsed="false" customWidth="true" hidden="false" outlineLevel="0" max="4" min="4" style="0" width="15.52"/>
    <col collapsed="false" customWidth="true" hidden="false" outlineLevel="0" max="13" min="5" style="0" width="11"/>
    <col collapsed="false" customWidth="true" hidden="false" outlineLevel="0" max="14" min="14" style="0" width="13.33"/>
    <col collapsed="false" customWidth="true" hidden="false" outlineLevel="0" max="15" min="15" style="0" width="16.84"/>
  </cols>
  <sheetData>
    <row r="2" customFormat="false" ht="15" hidden="false" customHeight="false" outlineLevel="0" collapsed="false">
      <c r="B2" s="39" t="s">
        <v>257</v>
      </c>
      <c r="C2" s="39" t="s">
        <v>258</v>
      </c>
    </row>
    <row r="3" customFormat="false" ht="15" hidden="false" customHeight="false" outlineLevel="0" collapsed="false">
      <c r="B3" s="40" t="s">
        <v>259</v>
      </c>
      <c r="C3" s="41" t="n">
        <v>50</v>
      </c>
    </row>
    <row r="4" customFormat="false" ht="15" hidden="false" customHeight="false" outlineLevel="0" collapsed="false">
      <c r="B4" s="42" t="s">
        <v>260</v>
      </c>
      <c r="C4" s="43" t="n">
        <v>25</v>
      </c>
    </row>
    <row r="5" customFormat="false" ht="15" hidden="false" customHeight="false" outlineLevel="0" collapsed="false">
      <c r="B5" s="40" t="s">
        <v>261</v>
      </c>
      <c r="C5" s="41" t="n">
        <v>40</v>
      </c>
    </row>
    <row r="6" customFormat="false" ht="15" hidden="false" customHeight="false" outlineLevel="0" collapsed="false">
      <c r="B6" s="42" t="s">
        <v>262</v>
      </c>
      <c r="C6" s="43" t="n">
        <v>55</v>
      </c>
    </row>
    <row r="7" customFormat="false" ht="15" hidden="false" customHeight="false" outlineLevel="0" collapsed="false">
      <c r="B7" s="40" t="s">
        <v>263</v>
      </c>
      <c r="C7" s="41" t="n">
        <v>0.6</v>
      </c>
    </row>
    <row r="8" customFormat="false" ht="15" hidden="false" customHeight="false" outlineLevel="0" collapsed="false">
      <c r="B8" s="42" t="s">
        <v>264</v>
      </c>
      <c r="C8" s="43" t="n">
        <v>0.3</v>
      </c>
    </row>
    <row r="9" customFormat="false" ht="15" hidden="false" customHeight="false" outlineLevel="0" collapsed="false">
      <c r="B9" s="40" t="s">
        <v>265</v>
      </c>
      <c r="C9" s="41" t="n">
        <v>0.1</v>
      </c>
    </row>
    <row r="10" customFormat="false" ht="15" hidden="false" customHeight="false" outlineLevel="0" collapsed="false">
      <c r="B10" s="42" t="s">
        <v>177</v>
      </c>
      <c r="C10" s="44" t="n">
        <v>0.05</v>
      </c>
    </row>
    <row r="11" customFormat="false" ht="15" hidden="false" customHeight="false" outlineLevel="0" collapsed="false">
      <c r="B11" s="40" t="s">
        <v>266</v>
      </c>
      <c r="C11" s="45" t="n">
        <v>0.1866</v>
      </c>
    </row>
    <row r="12" customFormat="false" ht="15" hidden="false" customHeight="false" outlineLevel="0" collapsed="false">
      <c r="B12" s="42" t="s">
        <v>267</v>
      </c>
      <c r="C12" s="44" t="n">
        <f aca="false">1-C11</f>
        <v>0.8134</v>
      </c>
    </row>
    <row r="13" customFormat="false" ht="15" hidden="false" customHeight="false" outlineLevel="0" collapsed="false">
      <c r="B13" s="40" t="s">
        <v>268</v>
      </c>
      <c r="C13" s="45" t="n">
        <v>0.25</v>
      </c>
    </row>
    <row r="14" customFormat="false" ht="15" hidden="false" customHeight="false" outlineLevel="0" collapsed="false">
      <c r="B14" s="42" t="s">
        <v>269</v>
      </c>
      <c r="C14" s="43" t="n">
        <v>111988</v>
      </c>
    </row>
    <row r="15" customFormat="false" ht="15" hidden="false" customHeight="false" outlineLevel="0" collapsed="false">
      <c r="B15" s="40" t="s">
        <v>270</v>
      </c>
      <c r="C15" s="40" t="s">
        <v>271</v>
      </c>
    </row>
    <row r="16" customFormat="false" ht="15" hidden="false" customHeight="false" outlineLevel="0" collapsed="false">
      <c r="B16" s="46" t="s">
        <v>272</v>
      </c>
      <c r="C16" s="47" t="s">
        <v>272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</row>
    <row r="17" customFormat="false" ht="15" hidden="false" customHeight="false" outlineLevel="0" collapsed="false">
      <c r="C17" s="2" t="s">
        <v>180</v>
      </c>
      <c r="D17" s="2" t="s">
        <v>182</v>
      </c>
      <c r="E17" s="2" t="s">
        <v>184</v>
      </c>
      <c r="F17" s="2" t="s">
        <v>273</v>
      </c>
      <c r="G17" s="2" t="s">
        <v>274</v>
      </c>
      <c r="H17" s="2" t="s">
        <v>275</v>
      </c>
      <c r="I17" s="2" t="s">
        <v>276</v>
      </c>
      <c r="J17" s="2" t="s">
        <v>277</v>
      </c>
      <c r="K17" s="2" t="s">
        <v>278</v>
      </c>
      <c r="L17" s="2" t="s">
        <v>279</v>
      </c>
      <c r="M17" s="2" t="s">
        <v>280</v>
      </c>
      <c r="N17" s="2" t="s">
        <v>281</v>
      </c>
      <c r="O17" s="2" t="s">
        <v>282</v>
      </c>
    </row>
    <row r="18" customFormat="false" ht="15" hidden="false" customHeight="false" outlineLevel="0" collapsed="false">
      <c r="B18" s="10" t="s">
        <v>283</v>
      </c>
      <c r="C18" s="7" t="n">
        <v>13</v>
      </c>
      <c r="D18" s="7" t="n">
        <v>13</v>
      </c>
      <c r="E18" s="7" t="n">
        <v>14</v>
      </c>
      <c r="F18" s="7" t="n">
        <v>15</v>
      </c>
      <c r="G18" s="7" t="n">
        <v>15</v>
      </c>
      <c r="H18" s="7" t="n">
        <v>16</v>
      </c>
      <c r="I18" s="7" t="n">
        <v>16</v>
      </c>
      <c r="J18" s="7" t="n">
        <v>16</v>
      </c>
      <c r="K18" s="7" t="n">
        <v>17</v>
      </c>
      <c r="L18" s="7" t="n">
        <v>17</v>
      </c>
      <c r="M18" s="7" t="n">
        <v>17</v>
      </c>
      <c r="N18" s="7" t="n">
        <v>16</v>
      </c>
      <c r="O18" s="7" t="n">
        <f aca="false">SUM(C18:N18)</f>
        <v>185</v>
      </c>
    </row>
    <row r="19" customFormat="false" ht="15" hidden="false" customHeight="false" outlineLevel="0" collapsed="false">
      <c r="B19" s="10" t="s">
        <v>284</v>
      </c>
      <c r="C19" s="7" t="n">
        <v>40</v>
      </c>
      <c r="D19" s="7" t="n">
        <v>51</v>
      </c>
      <c r="E19" s="7" t="n">
        <v>62</v>
      </c>
      <c r="F19" s="7" t="n">
        <v>74</v>
      </c>
      <c r="G19" s="7" t="n">
        <v>85</v>
      </c>
      <c r="H19" s="7" t="n">
        <v>97</v>
      </c>
      <c r="I19" s="7" t="n">
        <v>108</v>
      </c>
      <c r="J19" s="7" t="n">
        <v>119</v>
      </c>
      <c r="K19" s="7" t="n">
        <v>130</v>
      </c>
      <c r="L19" s="7" t="n">
        <v>141</v>
      </c>
      <c r="M19" s="7" t="n">
        <v>151</v>
      </c>
      <c r="N19" s="7" t="n">
        <v>159</v>
      </c>
      <c r="O19" s="7" t="n">
        <f aca="false">N19</f>
        <v>159</v>
      </c>
    </row>
    <row r="21" customFormat="false" ht="15" hidden="false" customHeight="false" outlineLevel="0" collapsed="false">
      <c r="B21" s="15" t="s">
        <v>285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B22" s="10" t="s">
        <v>286</v>
      </c>
      <c r="C22" s="7" t="n">
        <f aca="false">C19*($C$7*$C$4+$C$8*$C$5+$C$9*$C$6)</f>
        <v>1300</v>
      </c>
      <c r="D22" s="7" t="n">
        <f aca="false">D19*($C$7*$C$4+$C$8*$C$5+$C$9*$C$6)</f>
        <v>1657.5</v>
      </c>
      <c r="E22" s="7" t="n">
        <f aca="false">E19*($C$7*$C$4+$C$8*$C$5+$C$9*$C$6)</f>
        <v>2015</v>
      </c>
      <c r="F22" s="7" t="n">
        <f aca="false">F19*($C$7*$C$4+$C$8*$C$5+$C$9*$C$6)</f>
        <v>2405</v>
      </c>
      <c r="G22" s="7" t="n">
        <f aca="false">G19*($C$7*$C$4+$C$8*$C$5+$C$9*$C$6)</f>
        <v>2762.5</v>
      </c>
      <c r="H22" s="7" t="n">
        <f aca="false">H19*($C$7*$C$4+$C$8*$C$5+$C$9*$C$6)</f>
        <v>3152.5</v>
      </c>
      <c r="I22" s="7" t="n">
        <f aca="false">I19*($C$7*$C$4+$C$8*$C$5+$C$9*$C$6)</f>
        <v>3510</v>
      </c>
      <c r="J22" s="7" t="n">
        <f aca="false">J19*($C$7*$C$4+$C$8*$C$5+$C$9*$C$6)</f>
        <v>3867.5</v>
      </c>
      <c r="K22" s="7" t="n">
        <f aca="false">K19*($C$7*$C$4+$C$8*$C$5+$C$9*$C$6)</f>
        <v>4225</v>
      </c>
      <c r="L22" s="7" t="n">
        <f aca="false">L19*($C$7*$C$4+$C$8*$C$5+$C$9*$C$6)</f>
        <v>4582.5</v>
      </c>
      <c r="M22" s="7" t="n">
        <f aca="false">M19*($C$7*$C$4+$C$8*$C$5+$C$9*$C$6)</f>
        <v>4907.5</v>
      </c>
      <c r="N22" s="7" t="n">
        <f aca="false">N19*($C$7*$C$4+$C$8*$C$5+$C$9*$C$6)</f>
        <v>5167.5</v>
      </c>
      <c r="O22" s="7" t="n">
        <f aca="false">SUM(C22:N22)</f>
        <v>39552.5</v>
      </c>
    </row>
    <row r="23" customFormat="false" ht="15" hidden="false" customHeight="false" outlineLevel="0" collapsed="false">
      <c r="B23" s="10" t="s">
        <v>287</v>
      </c>
      <c r="C23" s="7" t="n">
        <f aca="false">C19*($C$3-C22/C19)</f>
        <v>700</v>
      </c>
      <c r="D23" s="7" t="n">
        <f aca="false">D19*($C$3-D22/D19)</f>
        <v>892.5</v>
      </c>
      <c r="E23" s="7" t="n">
        <f aca="false">E19*($C$3-E22/E19)</f>
        <v>1085</v>
      </c>
      <c r="F23" s="7" t="n">
        <f aca="false">F19*($C$3-F22/F19)</f>
        <v>1295</v>
      </c>
      <c r="G23" s="7" t="n">
        <f aca="false">G19*($C$3-G22/G19)</f>
        <v>1487.5</v>
      </c>
      <c r="H23" s="7" t="n">
        <f aca="false">H19*($C$3-H22/H19)</f>
        <v>1697.5</v>
      </c>
      <c r="I23" s="7" t="n">
        <f aca="false">I19*($C$3-I22/I19)</f>
        <v>1890</v>
      </c>
      <c r="J23" s="7" t="n">
        <f aca="false">J19*($C$3-J22/J19)</f>
        <v>2082.5</v>
      </c>
      <c r="K23" s="7" t="n">
        <f aca="false">K19*($C$3-K22/K19)</f>
        <v>2275</v>
      </c>
      <c r="L23" s="7" t="n">
        <f aca="false">L19*($C$3-L22/L19)</f>
        <v>2467.5</v>
      </c>
      <c r="M23" s="7" t="n">
        <f aca="false">M19*($C$3-M22/M19)</f>
        <v>2642.5</v>
      </c>
      <c r="N23" s="7" t="n">
        <f aca="false">N19*($C$3-N22/N19)</f>
        <v>2782.5</v>
      </c>
      <c r="O23" s="7" t="n">
        <f aca="false">SUM(C23:N23)</f>
        <v>21297.5</v>
      </c>
    </row>
    <row r="24" customFormat="false" ht="15" hidden="false" customHeight="false" outlineLevel="0" collapsed="false">
      <c r="B24" s="10" t="s">
        <v>288</v>
      </c>
      <c r="C24" s="7" t="n">
        <f aca="false">1500-(C22+C23)</f>
        <v>-500</v>
      </c>
      <c r="D24" s="7" t="n">
        <f aca="false">2168-(D22+D23)</f>
        <v>-382</v>
      </c>
      <c r="E24" s="7" t="n">
        <f aca="false">3100-(E22+E23)</f>
        <v>0</v>
      </c>
      <c r="F24" s="7" t="n">
        <f aca="false">3700-(F22+F23)</f>
        <v>0</v>
      </c>
      <c r="G24" s="7" t="n">
        <f aca="false">4250-(G22+G23)</f>
        <v>0</v>
      </c>
      <c r="H24" s="7" t="n">
        <f aca="false">4850-(H22+H23)</f>
        <v>0</v>
      </c>
      <c r="I24" s="7" t="n">
        <f aca="false">5400-(I22+I23)</f>
        <v>0</v>
      </c>
      <c r="J24" s="7" t="n">
        <f aca="false">5950-(J22+J23)</f>
        <v>0</v>
      </c>
      <c r="K24" s="7" t="n">
        <f aca="false">6500-(K22+K23)</f>
        <v>0</v>
      </c>
      <c r="L24" s="7" t="n">
        <f aca="false">7050-(L22+L23)</f>
        <v>0</v>
      </c>
      <c r="M24" s="7" t="n">
        <f aca="false">7550-(M22+M23)</f>
        <v>0</v>
      </c>
      <c r="N24" s="7" t="n">
        <f aca="false">7950-(N22+N23)</f>
        <v>0</v>
      </c>
      <c r="O24" s="7" t="n">
        <f aca="false">SUM(C24:N24)</f>
        <v>-882</v>
      </c>
    </row>
    <row r="25" customFormat="false" ht="15" hidden="false" customHeight="false" outlineLevel="0" collapsed="false">
      <c r="B25" s="48" t="s">
        <v>289</v>
      </c>
      <c r="C25" s="20" t="n">
        <f aca="false">C22+C23+C24</f>
        <v>1500</v>
      </c>
      <c r="D25" s="20" t="n">
        <f aca="false">D22+D23+D24</f>
        <v>2168</v>
      </c>
      <c r="E25" s="20" t="n">
        <f aca="false">E22+E23+E24</f>
        <v>3100</v>
      </c>
      <c r="F25" s="20" t="n">
        <f aca="false">F22+F23+F24</f>
        <v>3700</v>
      </c>
      <c r="G25" s="20" t="n">
        <f aca="false">G22+G23+G24</f>
        <v>4250</v>
      </c>
      <c r="H25" s="20" t="n">
        <f aca="false">H22+H23+H24</f>
        <v>4850</v>
      </c>
      <c r="I25" s="20" t="n">
        <f aca="false">I22+I23+I24</f>
        <v>5400</v>
      </c>
      <c r="J25" s="20" t="n">
        <f aca="false">J22+J23+J24</f>
        <v>5950</v>
      </c>
      <c r="K25" s="20" t="n">
        <f aca="false">K22+K23+K24</f>
        <v>6500</v>
      </c>
      <c r="L25" s="20" t="n">
        <f aca="false">L22+L23+L24</f>
        <v>7050</v>
      </c>
      <c r="M25" s="20" t="n">
        <f aca="false">M22+M23+M24</f>
        <v>7550</v>
      </c>
      <c r="N25" s="20" t="n">
        <f aca="false">N22+N23+N24</f>
        <v>7950</v>
      </c>
      <c r="O25" s="20" t="n">
        <f aca="false">SUM(C25:N25)</f>
        <v>59968</v>
      </c>
    </row>
    <row r="27" customFormat="false" ht="15" hidden="false" customHeight="false" outlineLevel="0" collapsed="false">
      <c r="B27" s="15" t="s">
        <v>290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customFormat="false" ht="15" hidden="false" customHeight="false" outlineLevel="0" collapsed="false">
      <c r="B28" s="10" t="s">
        <v>291</v>
      </c>
      <c r="C28" s="7" t="n">
        <f aca="false">'ESTA SI VALE'!$I$60</f>
        <v>600</v>
      </c>
      <c r="D28" s="7" t="n">
        <f aca="false">'ESTA SI VALE'!$I$60</f>
        <v>600</v>
      </c>
      <c r="E28" s="7" t="n">
        <f aca="false">'ESTA SI VALE'!$I$60</f>
        <v>600</v>
      </c>
      <c r="F28" s="7" t="n">
        <f aca="false">'ESTA SI VALE'!$I$60</f>
        <v>600</v>
      </c>
      <c r="G28" s="7" t="n">
        <f aca="false">'ESTA SI VALE'!$I$60</f>
        <v>600</v>
      </c>
      <c r="H28" s="7" t="n">
        <f aca="false">'ESTA SI VALE'!$I$60</f>
        <v>600</v>
      </c>
      <c r="I28" s="7" t="n">
        <f aca="false">'ESTA SI VALE'!$I$60</f>
        <v>600</v>
      </c>
      <c r="J28" s="7" t="n">
        <f aca="false">'ESTA SI VALE'!$I$60</f>
        <v>600</v>
      </c>
      <c r="K28" s="7" t="n">
        <f aca="false">'ESTA SI VALE'!$I$60</f>
        <v>600</v>
      </c>
      <c r="L28" s="7" t="n">
        <f aca="false">'ESTA SI VALE'!$I$60</f>
        <v>600</v>
      </c>
      <c r="M28" s="7" t="n">
        <f aca="false">'ESTA SI VALE'!$I$60</f>
        <v>600</v>
      </c>
      <c r="N28" s="7" t="n">
        <f aca="false">'ESTA SI VALE'!$I$60</f>
        <v>600</v>
      </c>
    </row>
    <row r="29" customFormat="false" ht="15" hidden="false" customHeight="false" outlineLevel="0" collapsed="false">
      <c r="B29" s="10" t="s">
        <v>292</v>
      </c>
      <c r="C29" s="7" t="n">
        <f aca="false">'ESTA SI VALE'!$I$61</f>
        <v>1400</v>
      </c>
      <c r="D29" s="7" t="n">
        <f aca="false">'ESTA SI VALE'!$I$61</f>
        <v>1400</v>
      </c>
      <c r="E29" s="7" t="n">
        <f aca="false">'ESTA SI VALE'!$I$61</f>
        <v>1400</v>
      </c>
      <c r="F29" s="7" t="n">
        <f aca="false">'ESTA SI VALE'!$I$61</f>
        <v>1400</v>
      </c>
      <c r="G29" s="7" t="n">
        <f aca="false">'ESTA SI VALE'!$I$61</f>
        <v>1400</v>
      </c>
      <c r="H29" s="7" t="n">
        <f aca="false">'ESTA SI VALE'!$I$61</f>
        <v>1400</v>
      </c>
      <c r="I29" s="7" t="n">
        <f aca="false">'ESTA SI VALE'!$I$61</f>
        <v>1400</v>
      </c>
      <c r="J29" s="7" t="n">
        <f aca="false">'ESTA SI VALE'!$I$61</f>
        <v>1400</v>
      </c>
      <c r="K29" s="7" t="n">
        <f aca="false">'ESTA SI VALE'!$I$61</f>
        <v>1400</v>
      </c>
      <c r="L29" s="7" t="n">
        <f aca="false">'ESTA SI VALE'!$I$61</f>
        <v>1400</v>
      </c>
      <c r="M29" s="7" t="n">
        <f aca="false">'ESTA SI VALE'!$I$61</f>
        <v>1400</v>
      </c>
      <c r="N29" s="7" t="n">
        <f aca="false">'ESTA SI VALE'!$I$61</f>
        <v>1400</v>
      </c>
    </row>
    <row r="30" customFormat="false" ht="15" hidden="false" customHeight="false" outlineLevel="0" collapsed="false">
      <c r="B30" s="10" t="s">
        <v>293</v>
      </c>
      <c r="C30" s="7" t="n">
        <f aca="false">'ESTA SI VALE'!$I$62</f>
        <v>400</v>
      </c>
      <c r="D30" s="7" t="n">
        <f aca="false">'ESTA SI VALE'!$I$62</f>
        <v>400</v>
      </c>
      <c r="E30" s="7" t="n">
        <f aca="false">'ESTA SI VALE'!$I$62</f>
        <v>400</v>
      </c>
      <c r="F30" s="7" t="n">
        <f aca="false">'ESTA SI VALE'!$I$62</f>
        <v>400</v>
      </c>
      <c r="G30" s="7" t="n">
        <f aca="false">'ESTA SI VALE'!$I$62</f>
        <v>400</v>
      </c>
      <c r="H30" s="7" t="n">
        <f aca="false">'ESTA SI VALE'!$I$62</f>
        <v>400</v>
      </c>
      <c r="I30" s="7" t="n">
        <f aca="false">'ESTA SI VALE'!$I$62</f>
        <v>400</v>
      </c>
      <c r="J30" s="7" t="n">
        <f aca="false">'ESTA SI VALE'!$I$62</f>
        <v>400</v>
      </c>
      <c r="K30" s="7" t="n">
        <f aca="false">'ESTA SI VALE'!$I$62</f>
        <v>400</v>
      </c>
      <c r="L30" s="7" t="n">
        <f aca="false">'ESTA SI VALE'!$I$62</f>
        <v>400</v>
      </c>
      <c r="M30" s="7" t="n">
        <f aca="false">'ESTA SI VALE'!$I$62</f>
        <v>400</v>
      </c>
      <c r="N30" s="7" t="n">
        <f aca="false">'ESTA SI VALE'!$I$62</f>
        <v>400</v>
      </c>
    </row>
    <row r="31" customFormat="false" ht="15" hidden="false" customHeight="false" outlineLevel="0" collapsed="false">
      <c r="B31" s="10" t="s">
        <v>294</v>
      </c>
      <c r="C31" s="7" t="n">
        <f aca="false">'ESTA SI VALE'!$I$63</f>
        <v>2000</v>
      </c>
      <c r="D31" s="7" t="n">
        <f aca="false">'ESTA SI VALE'!$I$63</f>
        <v>2000</v>
      </c>
      <c r="E31" s="7" t="n">
        <f aca="false">'ESTA SI VALE'!$I$63</f>
        <v>2000</v>
      </c>
      <c r="F31" s="7" t="n">
        <f aca="false">'ESTA SI VALE'!$I$63</f>
        <v>2000</v>
      </c>
      <c r="G31" s="7" t="n">
        <f aca="false">'ESTA SI VALE'!$I$63</f>
        <v>2000</v>
      </c>
      <c r="H31" s="7" t="n">
        <f aca="false">'ESTA SI VALE'!$I$63</f>
        <v>2000</v>
      </c>
      <c r="I31" s="7" t="n">
        <f aca="false">'ESTA SI VALE'!$I$63</f>
        <v>2000</v>
      </c>
      <c r="J31" s="7" t="n">
        <f aca="false">'ESTA SI VALE'!$I$63</f>
        <v>2000</v>
      </c>
      <c r="K31" s="7" t="n">
        <f aca="false">'ESTA SI VALE'!$I$63</f>
        <v>2000</v>
      </c>
      <c r="L31" s="7" t="n">
        <f aca="false">'ESTA SI VALE'!$I$63</f>
        <v>2000</v>
      </c>
      <c r="M31" s="7" t="n">
        <f aca="false">'ESTA SI VALE'!$I$63</f>
        <v>2000</v>
      </c>
      <c r="N31" s="7" t="n">
        <f aca="false">'ESTA SI VALE'!$I$63</f>
        <v>2000</v>
      </c>
    </row>
    <row r="32" customFormat="false" ht="15" hidden="false" customHeight="false" outlineLevel="0" collapsed="false">
      <c r="B32" s="10" t="s">
        <v>295</v>
      </c>
      <c r="C32" s="7" t="n">
        <f aca="false">'ESTA SI VALE'!$I$64</f>
        <v>425</v>
      </c>
      <c r="D32" s="7" t="n">
        <f aca="false">'ESTA SI VALE'!$I$64</f>
        <v>425</v>
      </c>
      <c r="E32" s="7" t="n">
        <f aca="false">'ESTA SI VALE'!$I$64</f>
        <v>425</v>
      </c>
      <c r="F32" s="7" t="n">
        <f aca="false">'ESTA SI VALE'!$I$64</f>
        <v>425</v>
      </c>
      <c r="G32" s="7" t="n">
        <f aca="false">'ESTA SI VALE'!$I$64</f>
        <v>425</v>
      </c>
      <c r="H32" s="7" t="n">
        <f aca="false">'ESTA SI VALE'!$I$64</f>
        <v>425</v>
      </c>
      <c r="I32" s="7" t="n">
        <f aca="false">'ESTA SI VALE'!$I$64</f>
        <v>425</v>
      </c>
      <c r="J32" s="7" t="n">
        <f aca="false">'ESTA SI VALE'!$I$64</f>
        <v>425</v>
      </c>
      <c r="K32" s="7" t="n">
        <f aca="false">'ESTA SI VALE'!$I$64</f>
        <v>425</v>
      </c>
      <c r="L32" s="7" t="n">
        <f aca="false">'ESTA SI VALE'!$I$64</f>
        <v>425</v>
      </c>
      <c r="M32" s="7" t="n">
        <f aca="false">'ESTA SI VALE'!$I$64</f>
        <v>425</v>
      </c>
      <c r="N32" s="7" t="n">
        <f aca="false">'ESTA SI VALE'!$I$64</f>
        <v>425</v>
      </c>
    </row>
    <row r="33" customFormat="false" ht="15" hidden="false" customHeight="false" outlineLevel="0" collapsed="false">
      <c r="B33" s="10" t="s">
        <v>296</v>
      </c>
      <c r="C33" s="7" t="n">
        <f aca="false">'ESTA SI VALE'!$I$65</f>
        <v>330</v>
      </c>
      <c r="D33" s="7" t="n">
        <f aca="false">'ESTA SI VALE'!$I$65</f>
        <v>330</v>
      </c>
      <c r="E33" s="7" t="n">
        <f aca="false">'ESTA SI VALE'!$I$65</f>
        <v>330</v>
      </c>
      <c r="F33" s="7" t="n">
        <f aca="false">'ESTA SI VALE'!$I$65</f>
        <v>330</v>
      </c>
      <c r="G33" s="7" t="n">
        <f aca="false">'ESTA SI VALE'!$I$65</f>
        <v>330</v>
      </c>
      <c r="H33" s="7" t="n">
        <f aca="false">'ESTA SI VALE'!$I$65</f>
        <v>330</v>
      </c>
      <c r="I33" s="7" t="n">
        <f aca="false">'ESTA SI VALE'!$I$65</f>
        <v>330</v>
      </c>
      <c r="J33" s="7" t="n">
        <f aca="false">'ESTA SI VALE'!$I$65</f>
        <v>330</v>
      </c>
      <c r="K33" s="7" t="n">
        <f aca="false">'ESTA SI VALE'!$I$65</f>
        <v>330</v>
      </c>
      <c r="L33" s="7" t="n">
        <f aca="false">'ESTA SI VALE'!$I$65</f>
        <v>330</v>
      </c>
      <c r="M33" s="7" t="n">
        <f aca="false">'ESTA SI VALE'!$I$65</f>
        <v>330</v>
      </c>
      <c r="N33" s="7" t="n">
        <f aca="false">'ESTA SI VALE'!$I$65</f>
        <v>330</v>
      </c>
    </row>
    <row r="34" customFormat="false" ht="15" hidden="false" customHeight="false" outlineLevel="0" collapsed="false">
      <c r="B34" s="10" t="s">
        <v>297</v>
      </c>
      <c r="C34" s="7" t="n">
        <f aca="false">'ESTA SI VALE'!$I$66</f>
        <v>500</v>
      </c>
      <c r="D34" s="7" t="n">
        <f aca="false">'ESTA SI VALE'!$I$66</f>
        <v>500</v>
      </c>
      <c r="E34" s="7" t="n">
        <f aca="false">'ESTA SI VALE'!$I$66</f>
        <v>500</v>
      </c>
      <c r="F34" s="7" t="n">
        <f aca="false">'ESTA SI VALE'!$I$66</f>
        <v>500</v>
      </c>
      <c r="G34" s="7" t="n">
        <f aca="false">'ESTA SI VALE'!$I$66</f>
        <v>500</v>
      </c>
      <c r="H34" s="7" t="n">
        <f aca="false">'ESTA SI VALE'!$I$66</f>
        <v>500</v>
      </c>
      <c r="I34" s="7" t="n">
        <f aca="false">'ESTA SI VALE'!$I$66</f>
        <v>500</v>
      </c>
      <c r="J34" s="7" t="n">
        <f aca="false">'ESTA SI VALE'!$I$66</f>
        <v>500</v>
      </c>
      <c r="K34" s="7" t="n">
        <f aca="false">'ESTA SI VALE'!$I$66</f>
        <v>500</v>
      </c>
      <c r="L34" s="7" t="n">
        <f aca="false">'ESTA SI VALE'!$I$66</f>
        <v>500</v>
      </c>
      <c r="M34" s="7" t="n">
        <f aca="false">'ESTA SI VALE'!$I$66</f>
        <v>500</v>
      </c>
      <c r="N34" s="7" t="n">
        <f aca="false">'ESTA SI VALE'!$I$66</f>
        <v>500</v>
      </c>
    </row>
    <row r="35" customFormat="false" ht="15" hidden="false" customHeight="false" outlineLevel="0" collapsed="false">
      <c r="B35" s="10" t="s">
        <v>298</v>
      </c>
      <c r="C35" s="7" t="n">
        <f aca="false">'ESTA SI VALE'!$I$67</f>
        <v>80</v>
      </c>
      <c r="D35" s="7" t="n">
        <f aca="false">'ESTA SI VALE'!$I$67</f>
        <v>80</v>
      </c>
      <c r="E35" s="7" t="n">
        <f aca="false">'ESTA SI VALE'!$I$67</f>
        <v>80</v>
      </c>
      <c r="F35" s="7" t="n">
        <f aca="false">'ESTA SI VALE'!$I$67</f>
        <v>80</v>
      </c>
      <c r="G35" s="7" t="n">
        <f aca="false">'ESTA SI VALE'!$I$67</f>
        <v>80</v>
      </c>
      <c r="H35" s="7" t="n">
        <f aca="false">'ESTA SI VALE'!$I$67</f>
        <v>80</v>
      </c>
      <c r="I35" s="7" t="n">
        <f aca="false">'ESTA SI VALE'!$I$67</f>
        <v>80</v>
      </c>
      <c r="J35" s="7" t="n">
        <f aca="false">'ESTA SI VALE'!$I$67</f>
        <v>80</v>
      </c>
      <c r="K35" s="7" t="n">
        <f aca="false">'ESTA SI VALE'!$I$67</f>
        <v>80</v>
      </c>
      <c r="L35" s="7" t="n">
        <f aca="false">'ESTA SI VALE'!$I$67</f>
        <v>80</v>
      </c>
      <c r="M35" s="7" t="n">
        <f aca="false">'ESTA SI VALE'!$I$67</f>
        <v>80</v>
      </c>
      <c r="N35" s="7" t="n">
        <f aca="false">'ESTA SI VALE'!$I$67</f>
        <v>80</v>
      </c>
    </row>
    <row r="36" customFormat="false" ht="15" hidden="false" customHeight="false" outlineLevel="0" collapsed="false">
      <c r="B36" s="10" t="s">
        <v>299</v>
      </c>
      <c r="C36" s="7" t="n">
        <f aca="false">'ESTA SI VALE'!$I$68</f>
        <v>154</v>
      </c>
      <c r="D36" s="7" t="n">
        <f aca="false">'ESTA SI VALE'!$I$68</f>
        <v>154</v>
      </c>
      <c r="E36" s="7" t="n">
        <f aca="false">'ESTA SI VALE'!$I$68</f>
        <v>154</v>
      </c>
      <c r="F36" s="7" t="n">
        <f aca="false">'ESTA SI VALE'!$I$68</f>
        <v>154</v>
      </c>
      <c r="G36" s="7" t="n">
        <f aca="false">'ESTA SI VALE'!$I$68</f>
        <v>154</v>
      </c>
      <c r="H36" s="7" t="n">
        <f aca="false">'ESTA SI VALE'!$I$68</f>
        <v>154</v>
      </c>
      <c r="I36" s="7" t="n">
        <f aca="false">'ESTA SI VALE'!$I$68</f>
        <v>154</v>
      </c>
      <c r="J36" s="7" t="n">
        <f aca="false">'ESTA SI VALE'!$I$68</f>
        <v>154</v>
      </c>
      <c r="K36" s="7" t="n">
        <f aca="false">'ESTA SI VALE'!$I$68</f>
        <v>154</v>
      </c>
      <c r="L36" s="7" t="n">
        <f aca="false">'ESTA SI VALE'!$I$68</f>
        <v>154</v>
      </c>
      <c r="M36" s="7" t="n">
        <f aca="false">'ESTA SI VALE'!$I$68</f>
        <v>154</v>
      </c>
      <c r="N36" s="7" t="n">
        <f aca="false">'ESTA SI VALE'!$I$68</f>
        <v>154</v>
      </c>
    </row>
    <row r="37" customFormat="false" ht="15" hidden="false" customHeight="false" outlineLevel="0" collapsed="false">
      <c r="B37" s="10" t="s">
        <v>300</v>
      </c>
      <c r="C37" s="7" t="n">
        <v>800</v>
      </c>
      <c r="D37" s="7" t="n">
        <v>800</v>
      </c>
      <c r="E37" s="7" t="n">
        <v>800</v>
      </c>
      <c r="F37" s="7" t="n">
        <v>800</v>
      </c>
      <c r="G37" s="7" t="n">
        <v>800</v>
      </c>
      <c r="H37" s="7" t="n">
        <v>800</v>
      </c>
      <c r="I37" s="7" t="n">
        <v>500</v>
      </c>
      <c r="J37" s="7" t="n">
        <v>500</v>
      </c>
      <c r="K37" s="7" t="n">
        <v>500</v>
      </c>
      <c r="L37" s="7" t="n">
        <v>500</v>
      </c>
      <c r="M37" s="7" t="n">
        <v>500</v>
      </c>
      <c r="N37" s="7" t="n">
        <v>500</v>
      </c>
      <c r="O37" s="7" t="n">
        <f aca="false">SUM(C37:N37)</f>
        <v>7800</v>
      </c>
    </row>
    <row r="38" customFormat="false" ht="15" hidden="false" customHeight="false" outlineLevel="0" collapsed="false">
      <c r="B38" s="10" t="s">
        <v>301</v>
      </c>
      <c r="C38" s="7" t="n">
        <v>0</v>
      </c>
      <c r="D38" s="7" t="n">
        <v>0</v>
      </c>
      <c r="E38" s="7" t="n">
        <v>350</v>
      </c>
      <c r="F38" s="7" t="n">
        <v>350</v>
      </c>
      <c r="G38" s="7" t="n">
        <v>350</v>
      </c>
      <c r="H38" s="7" t="n">
        <v>350</v>
      </c>
      <c r="I38" s="7" t="n">
        <v>350</v>
      </c>
      <c r="J38" s="7" t="n">
        <v>350</v>
      </c>
      <c r="K38" s="7" t="n">
        <v>350</v>
      </c>
      <c r="L38" s="7" t="n">
        <v>350</v>
      </c>
      <c r="M38" s="7" t="n">
        <v>350</v>
      </c>
      <c r="N38" s="7" t="n">
        <v>350</v>
      </c>
      <c r="O38" s="7" t="n">
        <f aca="false">SUM(C38:N38)</f>
        <v>3500</v>
      </c>
    </row>
    <row r="39" customFormat="false" ht="15" hidden="false" customHeight="false" outlineLevel="0" collapsed="false">
      <c r="B39" s="10" t="s">
        <v>302</v>
      </c>
      <c r="C39" s="7" t="n">
        <v>1322</v>
      </c>
      <c r="D39" s="7" t="n">
        <v>1322</v>
      </c>
      <c r="E39" s="7" t="n">
        <v>1308</v>
      </c>
      <c r="F39" s="7" t="n">
        <v>1308</v>
      </c>
      <c r="G39" s="7" t="n">
        <v>1308</v>
      </c>
      <c r="H39" s="7" t="n">
        <v>1308</v>
      </c>
      <c r="I39" s="7" t="n">
        <v>1241</v>
      </c>
      <c r="J39" s="7" t="n">
        <v>1241</v>
      </c>
      <c r="K39" s="7" t="n">
        <v>1241</v>
      </c>
      <c r="L39" s="7" t="n">
        <v>1241</v>
      </c>
      <c r="M39" s="7" t="n">
        <v>1241</v>
      </c>
      <c r="N39" s="7" t="n">
        <v>1241</v>
      </c>
      <c r="O39" s="7" t="n">
        <f aca="false">SUM(C39:N39)</f>
        <v>15322</v>
      </c>
    </row>
    <row r="40" customFormat="false" ht="15" hidden="false" customHeight="false" outlineLevel="0" collapsed="false">
      <c r="B40" s="48" t="s">
        <v>303</v>
      </c>
      <c r="C40" s="20" t="n">
        <f aca="false">C28+C29+C30+C31+C32+C33+C34+C35+C36+C37+C38+C39</f>
        <v>8011</v>
      </c>
      <c r="D40" s="20" t="n">
        <f aca="false">D28+D29+D30+D31+D32+D33+D34+D35+D36+D37+D38+D39</f>
        <v>8011</v>
      </c>
      <c r="E40" s="20" t="n">
        <f aca="false">E28+E29+E30+E31+E32+E33+E34+E35+E36+E37+E38+E39</f>
        <v>8347</v>
      </c>
      <c r="F40" s="20" t="n">
        <f aca="false">F28+F29+F30+F31+F32+F33+F34+F35+F36+F37+F38+F39</f>
        <v>8347</v>
      </c>
      <c r="G40" s="20" t="n">
        <f aca="false">G28+G29+G30+G31+G32+G33+G34+G35+G36+G37+G38+G39</f>
        <v>8347</v>
      </c>
      <c r="H40" s="20" t="n">
        <f aca="false">H28+H29+H30+H31+H32+H33+H34+H35+H36+H37+H38+H39</f>
        <v>8347</v>
      </c>
      <c r="I40" s="20" t="n">
        <f aca="false">I28+I29+I30+I31+I32+I33+I34+I35+I36+I37+I38+I39</f>
        <v>7980</v>
      </c>
      <c r="J40" s="20" t="n">
        <f aca="false">J28+J29+J30+J31+J32+J33+J34+J35+J36+J37+J38+J39</f>
        <v>7980</v>
      </c>
      <c r="K40" s="20" t="n">
        <f aca="false">K28+K29+K30+K31+K32+K33+K34+K35+K36+K37+K38+K39</f>
        <v>7980</v>
      </c>
      <c r="L40" s="20" t="n">
        <f aca="false">L28+L29+L30+L31+L32+L33+L34+L35+L36+L37+L38+L39</f>
        <v>7980</v>
      </c>
      <c r="M40" s="20" t="n">
        <f aca="false">M28+M29+M30+M31+M32+M33+M34+M35+M36+M37+M38+M39</f>
        <v>7980</v>
      </c>
      <c r="N40" s="20" t="n">
        <f aca="false">N28+N29+N30+N31+N32+N33+N34+N35+N36+N37+N38+N39</f>
        <v>7980</v>
      </c>
      <c r="O40" s="20" t="n">
        <f aca="false">SUM(C40:N40)</f>
        <v>97290</v>
      </c>
    </row>
    <row r="42" customFormat="false" ht="15" hidden="false" customHeight="false" outlineLevel="0" collapsed="false">
      <c r="B42" s="48" t="s">
        <v>304</v>
      </c>
      <c r="C42" s="20" t="n">
        <f aca="false">C25-C40</f>
        <v>-6511</v>
      </c>
      <c r="D42" s="20" t="n">
        <f aca="false">D25-D40</f>
        <v>-5843</v>
      </c>
      <c r="E42" s="20" t="n">
        <f aca="false">E25-E40</f>
        <v>-5247</v>
      </c>
      <c r="F42" s="20" t="n">
        <f aca="false">F25-F40</f>
        <v>-4647</v>
      </c>
      <c r="G42" s="20" t="n">
        <f aca="false">G25-G40</f>
        <v>-4097</v>
      </c>
      <c r="H42" s="20" t="n">
        <f aca="false">H25-H40</f>
        <v>-3497</v>
      </c>
      <c r="I42" s="20" t="n">
        <f aca="false">I25-I40</f>
        <v>-2580</v>
      </c>
      <c r="J42" s="20" t="n">
        <f aca="false">J25-J40</f>
        <v>-2030</v>
      </c>
      <c r="K42" s="20" t="n">
        <f aca="false">K25-K40</f>
        <v>-1480</v>
      </c>
      <c r="L42" s="20" t="n">
        <f aca="false">L25-L40</f>
        <v>-930</v>
      </c>
      <c r="M42" s="20" t="n">
        <f aca="false">M25-M40</f>
        <v>-430</v>
      </c>
      <c r="N42" s="20" t="n">
        <f aca="false">N25-N40</f>
        <v>-30</v>
      </c>
      <c r="O42" s="20" t="n">
        <f aca="false">SUM(C42:N42)</f>
        <v>-37322</v>
      </c>
    </row>
    <row r="43" customFormat="false" ht="15" hidden="false" customHeight="false" outlineLevel="0" collapsed="false">
      <c r="B43" s="10" t="s">
        <v>305</v>
      </c>
      <c r="C43" s="7" t="n">
        <f aca="false">C42</f>
        <v>-6511</v>
      </c>
      <c r="D43" s="7" t="n">
        <f aca="false">C43+D42</f>
        <v>-12354</v>
      </c>
      <c r="E43" s="7" t="n">
        <f aca="false">D43+E42</f>
        <v>-17601</v>
      </c>
      <c r="F43" s="7" t="n">
        <f aca="false">E43+F42</f>
        <v>-22248</v>
      </c>
      <c r="G43" s="7" t="n">
        <f aca="false">F43+G42</f>
        <v>-26345</v>
      </c>
      <c r="H43" s="7" t="n">
        <f aca="false">G43+H42</f>
        <v>-29842</v>
      </c>
      <c r="I43" s="7" t="n">
        <f aca="false">H43+I42</f>
        <v>-32422</v>
      </c>
      <c r="J43" s="7" t="n">
        <f aca="false">I43+J42</f>
        <v>-34452</v>
      </c>
      <c r="K43" s="7" t="n">
        <f aca="false">J43+K42</f>
        <v>-35932</v>
      </c>
      <c r="L43" s="7" t="n">
        <f aca="false">K43+L42</f>
        <v>-36862</v>
      </c>
      <c r="M43" s="7" t="n">
        <f aca="false">L43+M42</f>
        <v>-37292</v>
      </c>
      <c r="N43" s="7" t="n">
        <f aca="false">M43+N42</f>
        <v>-37322</v>
      </c>
      <c r="O43" s="7" t="n">
        <f aca="false">N43</f>
        <v>-37322</v>
      </c>
    </row>
    <row r="44" customFormat="false" ht="15" hidden="false" customHeight="false" outlineLevel="0" collapsed="false">
      <c r="B44" s="10" t="s">
        <v>306</v>
      </c>
      <c r="C44" s="7" t="n">
        <f aca="false">C42*$C$11</f>
        <v>-1214.9526</v>
      </c>
      <c r="D44" s="7" t="n">
        <f aca="false">D42*$C$11</f>
        <v>-1090.3038</v>
      </c>
      <c r="E44" s="7" t="n">
        <f aca="false">E42*$C$11</f>
        <v>-979.0902</v>
      </c>
      <c r="F44" s="7" t="n">
        <f aca="false">F42*$C$11</f>
        <v>-867.1302</v>
      </c>
      <c r="G44" s="7" t="n">
        <f aca="false">G42*$C$11</f>
        <v>-764.5002</v>
      </c>
      <c r="H44" s="7" t="n">
        <f aca="false">H42*$C$11</f>
        <v>-652.5402</v>
      </c>
      <c r="I44" s="7" t="n">
        <f aca="false">I42*$C$11</f>
        <v>-481.428</v>
      </c>
      <c r="J44" s="7" t="n">
        <f aca="false">J42*$C$11</f>
        <v>-378.798</v>
      </c>
      <c r="K44" s="7" t="n">
        <f aca="false">K42*$C$11</f>
        <v>-276.168</v>
      </c>
      <c r="L44" s="7" t="n">
        <f aca="false">L42*$C$11</f>
        <v>-173.538</v>
      </c>
      <c r="M44" s="7" t="n">
        <f aca="false">M42*$C$11</f>
        <v>-80.238</v>
      </c>
      <c r="N44" s="7" t="n">
        <f aca="false">N42*$C$11</f>
        <v>-5.598</v>
      </c>
    </row>
    <row r="45" customFormat="false" ht="15" hidden="false" customHeight="false" outlineLevel="0" collapsed="false">
      <c r="B45" s="10" t="s">
        <v>307</v>
      </c>
      <c r="C45" s="7" t="n">
        <f aca="false">C42-C44</f>
        <v>-5296.0474</v>
      </c>
      <c r="D45" s="7" t="n">
        <f aca="false">D42-D44</f>
        <v>-4752.6962</v>
      </c>
      <c r="E45" s="7" t="n">
        <f aca="false">E42-E44</f>
        <v>-4267.9098</v>
      </c>
      <c r="F45" s="7" t="n">
        <f aca="false">F42-F44</f>
        <v>-3779.8698</v>
      </c>
      <c r="G45" s="7" t="n">
        <f aca="false">G42-G44</f>
        <v>-3332.4998</v>
      </c>
      <c r="H45" s="7" t="n">
        <f aca="false">H42-H44</f>
        <v>-2844.4598</v>
      </c>
      <c r="I45" s="7" t="n">
        <f aca="false">I42-I44</f>
        <v>-2098.572</v>
      </c>
      <c r="J45" s="7" t="n">
        <f aca="false">J42-J44</f>
        <v>-1651.202</v>
      </c>
      <c r="K45" s="7" t="n">
        <f aca="false">K42-K44</f>
        <v>-1203.832</v>
      </c>
      <c r="L45" s="7" t="n">
        <f aca="false">L42-L44</f>
        <v>-756.462</v>
      </c>
      <c r="M45" s="7" t="n">
        <f aca="false">M42-M44</f>
        <v>-349.762</v>
      </c>
      <c r="N45" s="7" t="n">
        <f aca="false">N42-N44</f>
        <v>-24.402</v>
      </c>
    </row>
    <row r="47" customFormat="false" ht="15" hidden="false" customHeight="false" outlineLevel="0" collapsed="false">
      <c r="B47" s="15" t="s">
        <v>308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customFormat="false" ht="15" hidden="false" customHeight="false" outlineLevel="0" collapsed="false">
      <c r="B48" s="10" t="s">
        <v>309</v>
      </c>
      <c r="C48" s="7" t="n">
        <f aca="false">'Detallado de la inversión.'!G74</f>
        <v>78153</v>
      </c>
      <c r="D48" s="7" t="n">
        <f aca="false">C49</f>
        <v>71642</v>
      </c>
      <c r="E48" s="7" t="n">
        <f aca="false">D49</f>
        <v>65799</v>
      </c>
      <c r="F48" s="7" t="n">
        <f aca="false">E49</f>
        <v>60552</v>
      </c>
      <c r="G48" s="7" t="n">
        <f aca="false">F49</f>
        <v>55905</v>
      </c>
      <c r="H48" s="7" t="n">
        <f aca="false">G49</f>
        <v>51808</v>
      </c>
      <c r="I48" s="7" t="n">
        <f aca="false">H49</f>
        <v>48311</v>
      </c>
      <c r="J48" s="7" t="n">
        <f aca="false">I49</f>
        <v>45731</v>
      </c>
      <c r="K48" s="7" t="n">
        <f aca="false">J49</f>
        <v>43701</v>
      </c>
      <c r="L48" s="7" t="n">
        <f aca="false">K49</f>
        <v>42221</v>
      </c>
      <c r="M48" s="7" t="n">
        <f aca="false">L49</f>
        <v>41291</v>
      </c>
      <c r="N48" s="7" t="n">
        <f aca="false">M49</f>
        <v>40861</v>
      </c>
    </row>
    <row r="49" customFormat="false" ht="15" hidden="false" customHeight="false" outlineLevel="0" collapsed="false">
      <c r="B49" s="10" t="s">
        <v>310</v>
      </c>
      <c r="C49" s="7" t="n">
        <f aca="false">C48+C25-C40</f>
        <v>71642</v>
      </c>
      <c r="D49" s="7" t="n">
        <f aca="false">D48+D25-D40</f>
        <v>65799</v>
      </c>
      <c r="E49" s="7" t="n">
        <f aca="false">E48+E25-E40</f>
        <v>60552</v>
      </c>
      <c r="F49" s="7" t="n">
        <f aca="false">F48+F25-F40</f>
        <v>55905</v>
      </c>
      <c r="G49" s="7" t="n">
        <f aca="false">G48+G25-G40</f>
        <v>51808</v>
      </c>
      <c r="H49" s="7" t="n">
        <f aca="false">H48+H25-H40</f>
        <v>48311</v>
      </c>
      <c r="I49" s="7" t="n">
        <f aca="false">I48+I25-I40</f>
        <v>45731</v>
      </c>
      <c r="J49" s="7" t="n">
        <f aca="false">J48+J25-J40</f>
        <v>43701</v>
      </c>
      <c r="K49" s="7" t="n">
        <f aca="false">K48+K25-K40</f>
        <v>42221</v>
      </c>
      <c r="L49" s="7" t="n">
        <f aca="false">L48+L25-L40</f>
        <v>41291</v>
      </c>
      <c r="M49" s="7" t="n">
        <f aca="false">M48+M25-M40</f>
        <v>40861</v>
      </c>
      <c r="N49" s="7" t="n">
        <f aca="false">N48+N25-N40</f>
        <v>40831</v>
      </c>
    </row>
  </sheetData>
  <mergeCells count="1">
    <mergeCell ref="C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39.25"/>
    <col collapsed="false" customWidth="true" hidden="false" outlineLevel="0" max="3" min="3" style="0" width="18.74"/>
    <col collapsed="false" customWidth="true" hidden="false" outlineLevel="0" max="14" min="4" style="0" width="11"/>
    <col collapsed="false" customWidth="true" hidden="false" outlineLevel="0" max="15" min="15" style="0" width="11.6"/>
  </cols>
  <sheetData>
    <row r="2" customFormat="false" ht="15" hidden="false" customHeight="false" outlineLevel="0" collapsed="false">
      <c r="B2" s="39" t="s">
        <v>257</v>
      </c>
      <c r="C2" s="39" t="s">
        <v>258</v>
      </c>
    </row>
    <row r="3" customFormat="false" ht="15" hidden="false" customHeight="false" outlineLevel="0" collapsed="false">
      <c r="B3" s="40" t="s">
        <v>311</v>
      </c>
      <c r="C3" s="41" t="n">
        <f aca="false">'Año 1'!N19</f>
        <v>159</v>
      </c>
    </row>
    <row r="4" customFormat="false" ht="15" hidden="false" customHeight="false" outlineLevel="0" collapsed="false">
      <c r="B4" s="42" t="s">
        <v>312</v>
      </c>
      <c r="C4" s="43" t="n">
        <v>102000</v>
      </c>
    </row>
    <row r="5" customFormat="false" ht="15" hidden="false" customHeight="false" outlineLevel="0" collapsed="false">
      <c r="B5" s="40" t="s">
        <v>313</v>
      </c>
      <c r="C5" s="41" t="n">
        <v>96000</v>
      </c>
    </row>
    <row r="6" customFormat="false" ht="15" hidden="false" customHeight="false" outlineLevel="0" collapsed="false">
      <c r="B6" s="42" t="s">
        <v>266</v>
      </c>
      <c r="C6" s="44" t="n">
        <v>0.1866</v>
      </c>
    </row>
    <row r="7" customFormat="false" ht="15" hidden="false" customHeight="false" outlineLevel="0" collapsed="false">
      <c r="B7" s="40" t="s">
        <v>267</v>
      </c>
      <c r="C7" s="45" t="n">
        <f aca="false">1-C6</f>
        <v>0.8134</v>
      </c>
    </row>
    <row r="8" customFormat="false" ht="15" hidden="false" customHeight="false" outlineLevel="0" collapsed="false">
      <c r="B8" s="42" t="s">
        <v>314</v>
      </c>
      <c r="C8" s="42" t="s">
        <v>315</v>
      </c>
    </row>
    <row r="9" customFormat="false" ht="15" hidden="false" customHeight="false" outlineLevel="0" collapsed="false">
      <c r="B9" s="46" t="s">
        <v>316</v>
      </c>
      <c r="C9" s="47" t="s">
        <v>316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customFormat="false" ht="15" hidden="false" customHeight="false" outlineLevel="0" collapsed="false">
      <c r="C10" s="2" t="s">
        <v>180</v>
      </c>
      <c r="D10" s="2" t="s">
        <v>182</v>
      </c>
      <c r="E10" s="2" t="s">
        <v>184</v>
      </c>
      <c r="F10" s="2" t="s">
        <v>273</v>
      </c>
      <c r="G10" s="2" t="s">
        <v>274</v>
      </c>
      <c r="H10" s="2" t="s">
        <v>275</v>
      </c>
      <c r="I10" s="2" t="s">
        <v>276</v>
      </c>
      <c r="J10" s="2" t="s">
        <v>277</v>
      </c>
      <c r="K10" s="2" t="s">
        <v>278</v>
      </c>
      <c r="L10" s="2" t="s">
        <v>279</v>
      </c>
      <c r="M10" s="2" t="s">
        <v>280</v>
      </c>
      <c r="N10" s="2" t="s">
        <v>281</v>
      </c>
      <c r="O10" s="2" t="s">
        <v>282</v>
      </c>
    </row>
    <row r="11" customFormat="false" ht="15" hidden="false" customHeight="false" outlineLevel="0" collapsed="false">
      <c r="B11" s="10" t="s">
        <v>317</v>
      </c>
      <c r="C11" s="7" t="n">
        <v>187</v>
      </c>
      <c r="D11" s="7" t="n">
        <v>187</v>
      </c>
      <c r="E11" s="7" t="n">
        <v>187</v>
      </c>
      <c r="F11" s="7" t="n">
        <v>187</v>
      </c>
      <c r="G11" s="7" t="n">
        <v>187</v>
      </c>
      <c r="H11" s="7" t="n">
        <v>187</v>
      </c>
      <c r="I11" s="7" t="n">
        <v>187</v>
      </c>
      <c r="J11" s="7" t="n">
        <v>187</v>
      </c>
      <c r="K11" s="7" t="n">
        <v>187</v>
      </c>
      <c r="L11" s="7" t="n">
        <v>187</v>
      </c>
      <c r="M11" s="7" t="n">
        <v>187</v>
      </c>
      <c r="N11" s="7" t="n">
        <v>187</v>
      </c>
      <c r="O11" s="7" t="n">
        <f aca="false">N11</f>
        <v>187</v>
      </c>
    </row>
    <row r="13" customFormat="false" ht="15" hidden="false" customHeight="false" outlineLevel="0" collapsed="false">
      <c r="B13" s="15" t="s">
        <v>285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B14" s="10" t="s">
        <v>318</v>
      </c>
      <c r="C14" s="7" t="n">
        <v>6667.17</v>
      </c>
      <c r="D14" s="7" t="n">
        <v>6667.17</v>
      </c>
      <c r="E14" s="7" t="n">
        <v>6667.17</v>
      </c>
      <c r="F14" s="7" t="n">
        <v>8046.58</v>
      </c>
      <c r="G14" s="7" t="n">
        <v>8046.58</v>
      </c>
      <c r="H14" s="7" t="n">
        <v>8046.58</v>
      </c>
      <c r="I14" s="7" t="n">
        <v>9196.09</v>
      </c>
      <c r="J14" s="7" t="n">
        <v>9196.09</v>
      </c>
      <c r="K14" s="7" t="n">
        <v>9196.09</v>
      </c>
      <c r="L14" s="7" t="n">
        <v>10090.16</v>
      </c>
      <c r="M14" s="7" t="n">
        <v>10090.16</v>
      </c>
      <c r="N14" s="7" t="n">
        <v>10090.16</v>
      </c>
      <c r="O14" s="7" t="n">
        <f aca="false">SUM(C14:N14)</f>
        <v>102000</v>
      </c>
    </row>
    <row r="15" customFormat="false" ht="15" hidden="false" customHeight="false" outlineLevel="0" collapsed="false">
      <c r="B15" s="48" t="s">
        <v>289</v>
      </c>
      <c r="C15" s="20" t="n">
        <f aca="false">C14</f>
        <v>6667.17</v>
      </c>
      <c r="D15" s="20" t="n">
        <f aca="false">D14</f>
        <v>6667.17</v>
      </c>
      <c r="E15" s="20" t="n">
        <f aca="false">E14</f>
        <v>6667.17</v>
      </c>
      <c r="F15" s="20" t="n">
        <f aca="false">F14</f>
        <v>8046.58</v>
      </c>
      <c r="G15" s="20" t="n">
        <f aca="false">G14</f>
        <v>8046.58</v>
      </c>
      <c r="H15" s="20" t="n">
        <f aca="false">H14</f>
        <v>8046.58</v>
      </c>
      <c r="I15" s="20" t="n">
        <f aca="false">I14</f>
        <v>9196.09</v>
      </c>
      <c r="J15" s="20" t="n">
        <f aca="false">J14</f>
        <v>9196.09</v>
      </c>
      <c r="K15" s="20" t="n">
        <f aca="false">K14</f>
        <v>9196.09</v>
      </c>
      <c r="L15" s="20" t="n">
        <f aca="false">L14</f>
        <v>10090.16</v>
      </c>
      <c r="M15" s="20" t="n">
        <f aca="false">M14</f>
        <v>10090.16</v>
      </c>
      <c r="N15" s="20" t="n">
        <f aca="false">N14</f>
        <v>10090.16</v>
      </c>
      <c r="O15" s="20" t="n">
        <f aca="false">SUM(C15:N15)</f>
        <v>102000</v>
      </c>
    </row>
    <row r="17" customFormat="false" ht="15" hidden="false" customHeight="false" outlineLevel="0" collapsed="false">
      <c r="B17" s="15" t="s">
        <v>290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B18" s="10" t="s">
        <v>319</v>
      </c>
      <c r="C18" s="7" t="n">
        <v>2691.47</v>
      </c>
      <c r="D18" s="7" t="n">
        <v>2691.47</v>
      </c>
      <c r="E18" s="7" t="n">
        <v>2691.47</v>
      </c>
      <c r="F18" s="7" t="n">
        <v>2778.29</v>
      </c>
      <c r="G18" s="7" t="n">
        <v>2778.29</v>
      </c>
      <c r="H18" s="7" t="n">
        <v>2778.29</v>
      </c>
      <c r="I18" s="7" t="n">
        <v>2865.12</v>
      </c>
      <c r="J18" s="7" t="n">
        <v>2865.12</v>
      </c>
      <c r="K18" s="7" t="n">
        <v>2865.12</v>
      </c>
      <c r="L18" s="7" t="n">
        <v>2865.12</v>
      </c>
      <c r="M18" s="7" t="n">
        <v>2865.12</v>
      </c>
      <c r="N18" s="7" t="n">
        <v>2865.12</v>
      </c>
      <c r="O18" s="7" t="n">
        <f aca="false">SUM(C18:N18)</f>
        <v>33600</v>
      </c>
    </row>
    <row r="19" customFormat="false" ht="15" hidden="false" customHeight="false" outlineLevel="0" collapsed="false">
      <c r="B19" s="10" t="s">
        <v>320</v>
      </c>
      <c r="C19" s="7" t="n">
        <v>1384.19</v>
      </c>
      <c r="D19" s="7" t="n">
        <v>1384.19</v>
      </c>
      <c r="E19" s="7" t="n">
        <v>1384.19</v>
      </c>
      <c r="F19" s="7" t="n">
        <v>1428.84</v>
      </c>
      <c r="G19" s="7" t="n">
        <v>1428.84</v>
      </c>
      <c r="H19" s="7" t="n">
        <v>1428.84</v>
      </c>
      <c r="I19" s="7" t="n">
        <v>1473.49</v>
      </c>
      <c r="J19" s="7" t="n">
        <v>1473.49</v>
      </c>
      <c r="K19" s="7" t="n">
        <v>1473.49</v>
      </c>
      <c r="L19" s="7" t="n">
        <v>1473.49</v>
      </c>
      <c r="M19" s="7" t="n">
        <v>1473.49</v>
      </c>
      <c r="N19" s="7" t="n">
        <v>1473.49</v>
      </c>
      <c r="O19" s="7" t="n">
        <f aca="false">SUM(C19:N19)</f>
        <v>17280.03</v>
      </c>
    </row>
    <row r="20" customFormat="false" ht="15" hidden="false" customHeight="false" outlineLevel="0" collapsed="false">
      <c r="B20" s="10" t="s">
        <v>321</v>
      </c>
      <c r="C20" s="7" t="n">
        <v>615.19</v>
      </c>
      <c r="D20" s="7" t="n">
        <v>615.19</v>
      </c>
      <c r="E20" s="7" t="n">
        <v>615.19</v>
      </c>
      <c r="F20" s="7" t="n">
        <v>635.04</v>
      </c>
      <c r="G20" s="7" t="n">
        <v>635.04</v>
      </c>
      <c r="H20" s="7" t="n">
        <v>635.04</v>
      </c>
      <c r="I20" s="7" t="n">
        <v>654.88</v>
      </c>
      <c r="J20" s="7" t="n">
        <v>654.88</v>
      </c>
      <c r="K20" s="7" t="n">
        <v>654.88</v>
      </c>
      <c r="L20" s="7" t="n">
        <v>654.88</v>
      </c>
      <c r="M20" s="7" t="n">
        <v>654.88</v>
      </c>
      <c r="N20" s="7" t="n">
        <v>654.88</v>
      </c>
      <c r="O20" s="7" t="n">
        <f aca="false">SUM(C20:N20)</f>
        <v>7679.97</v>
      </c>
    </row>
    <row r="21" customFormat="false" ht="15" hidden="false" customHeight="false" outlineLevel="0" collapsed="false">
      <c r="B21" s="10" t="s">
        <v>322</v>
      </c>
      <c r="C21" s="7" t="n">
        <v>538.29</v>
      </c>
      <c r="D21" s="7" t="n">
        <v>538.29</v>
      </c>
      <c r="E21" s="7" t="n">
        <v>538.29</v>
      </c>
      <c r="F21" s="7" t="n">
        <v>555.66</v>
      </c>
      <c r="G21" s="7" t="n">
        <v>555.66</v>
      </c>
      <c r="H21" s="7" t="n">
        <v>555.66</v>
      </c>
      <c r="I21" s="7" t="n">
        <v>573.02</v>
      </c>
      <c r="J21" s="7" t="n">
        <v>573.02</v>
      </c>
      <c r="K21" s="7" t="n">
        <v>573.02</v>
      </c>
      <c r="L21" s="7" t="n">
        <v>573.02</v>
      </c>
      <c r="M21" s="7" t="n">
        <v>573.02</v>
      </c>
      <c r="N21" s="7" t="n">
        <v>573.02</v>
      </c>
      <c r="O21" s="7" t="n">
        <f aca="false">SUM(C21:N21)</f>
        <v>6719.97</v>
      </c>
    </row>
    <row r="22" customFormat="false" ht="15" hidden="false" customHeight="false" outlineLevel="0" collapsed="false">
      <c r="B22" s="10" t="s">
        <v>323</v>
      </c>
      <c r="C22" s="7" t="n">
        <v>922.79</v>
      </c>
      <c r="D22" s="7" t="n">
        <v>922.79</v>
      </c>
      <c r="E22" s="7" t="n">
        <v>922.79</v>
      </c>
      <c r="F22" s="7" t="n">
        <v>952.56</v>
      </c>
      <c r="G22" s="7" t="n">
        <v>952.56</v>
      </c>
      <c r="H22" s="7" t="n">
        <v>952.56</v>
      </c>
      <c r="I22" s="7" t="n">
        <v>982.33</v>
      </c>
      <c r="J22" s="7" t="n">
        <v>982.33</v>
      </c>
      <c r="K22" s="7" t="n">
        <v>982.33</v>
      </c>
      <c r="L22" s="7" t="n">
        <v>982.33</v>
      </c>
      <c r="M22" s="7" t="n">
        <v>982.33</v>
      </c>
      <c r="N22" s="7" t="n">
        <v>982.33</v>
      </c>
      <c r="O22" s="7" t="n">
        <f aca="false">SUM(C22:N22)</f>
        <v>11520.03</v>
      </c>
    </row>
    <row r="23" customFormat="false" ht="15" hidden="false" customHeight="false" outlineLevel="0" collapsed="false">
      <c r="B23" s="10" t="s">
        <v>324</v>
      </c>
      <c r="C23" s="7" t="n">
        <v>1537.98</v>
      </c>
      <c r="D23" s="7" t="n">
        <v>1537.98</v>
      </c>
      <c r="E23" s="7" t="n">
        <v>1537.98</v>
      </c>
      <c r="F23" s="7" t="n">
        <v>1587.6</v>
      </c>
      <c r="G23" s="7" t="n">
        <v>1587.6</v>
      </c>
      <c r="H23" s="7" t="n">
        <v>1587.6</v>
      </c>
      <c r="I23" s="7" t="n">
        <v>1637.21</v>
      </c>
      <c r="J23" s="7" t="n">
        <v>1637.21</v>
      </c>
      <c r="K23" s="7" t="n">
        <v>1637.21</v>
      </c>
      <c r="L23" s="7" t="n">
        <v>1637.21</v>
      </c>
      <c r="M23" s="7" t="n">
        <v>1637.21</v>
      </c>
      <c r="N23" s="7" t="n">
        <v>1637.21</v>
      </c>
      <c r="O23" s="7" t="n">
        <f aca="false">SUM(C23:N23)</f>
        <v>19200</v>
      </c>
    </row>
    <row r="24" customFormat="false" ht="15" hidden="false" customHeight="false" outlineLevel="0" collapsed="false">
      <c r="B24" s="48" t="s">
        <v>303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 t="n">
        <f aca="false">SUM(C18:N23)</f>
        <v>96000</v>
      </c>
    </row>
    <row r="26" customFormat="false" ht="15" hidden="false" customHeight="false" outlineLevel="0" collapsed="false">
      <c r="B26" s="48" t="s">
        <v>304</v>
      </c>
      <c r="C26" s="20" t="n">
        <f aca="false">C15-C24</f>
        <v>6667.17</v>
      </c>
      <c r="D26" s="20" t="n">
        <f aca="false">D15-D24</f>
        <v>6667.17</v>
      </c>
      <c r="E26" s="20" t="n">
        <f aca="false">E15-E24</f>
        <v>6667.17</v>
      </c>
      <c r="F26" s="20" t="n">
        <f aca="false">F15-F24</f>
        <v>8046.58</v>
      </c>
      <c r="G26" s="20" t="n">
        <f aca="false">G15-G24</f>
        <v>8046.58</v>
      </c>
      <c r="H26" s="20" t="n">
        <f aca="false">H15-H24</f>
        <v>8046.58</v>
      </c>
      <c r="I26" s="20" t="n">
        <f aca="false">I15-I24</f>
        <v>9196.09</v>
      </c>
      <c r="J26" s="20" t="n">
        <f aca="false">J15-J24</f>
        <v>9196.09</v>
      </c>
      <c r="K26" s="20" t="n">
        <f aca="false">K15-K24</f>
        <v>9196.09</v>
      </c>
      <c r="L26" s="20" t="n">
        <f aca="false">L15-L24</f>
        <v>10090.16</v>
      </c>
      <c r="M26" s="20" t="n">
        <f aca="false">M15-M24</f>
        <v>10090.16</v>
      </c>
      <c r="N26" s="20" t="n">
        <f aca="false">N15-N24</f>
        <v>10090.16</v>
      </c>
      <c r="O26" s="20" t="n">
        <f aca="false">SUM(C26:N26)</f>
        <v>102000</v>
      </c>
    </row>
    <row r="27" customFormat="false" ht="15" hidden="false" customHeight="false" outlineLevel="0" collapsed="false">
      <c r="B27" s="10" t="s">
        <v>305</v>
      </c>
      <c r="C27" s="7" t="n">
        <f aca="false">C26</f>
        <v>6667.17</v>
      </c>
      <c r="D27" s="7" t="n">
        <f aca="false">C27+D26</f>
        <v>13334.34</v>
      </c>
      <c r="E27" s="7" t="n">
        <f aca="false">D27+E26</f>
        <v>20001.51</v>
      </c>
      <c r="F27" s="7" t="n">
        <f aca="false">E27+F26</f>
        <v>28048.09</v>
      </c>
      <c r="G27" s="7" t="n">
        <f aca="false">F27+G26</f>
        <v>36094.67</v>
      </c>
      <c r="H27" s="7" t="n">
        <f aca="false">G27+H26</f>
        <v>44141.25</v>
      </c>
      <c r="I27" s="7" t="n">
        <f aca="false">H27+I26</f>
        <v>53337.34</v>
      </c>
      <c r="J27" s="7" t="n">
        <f aca="false">I27+J26</f>
        <v>62533.43</v>
      </c>
      <c r="K27" s="7" t="n">
        <f aca="false">J27+K26</f>
        <v>71729.52</v>
      </c>
      <c r="L27" s="7" t="n">
        <f aca="false">K27+L26</f>
        <v>81819.68</v>
      </c>
      <c r="M27" s="7" t="n">
        <f aca="false">L27+M26</f>
        <v>91909.84</v>
      </c>
      <c r="N27" s="7" t="n">
        <f aca="false">M27+N26</f>
        <v>102000</v>
      </c>
      <c r="O27" s="7" t="n">
        <f aca="false">N27</f>
        <v>102000</v>
      </c>
    </row>
    <row r="28" customFormat="false" ht="15" hidden="false" customHeight="false" outlineLevel="0" collapsed="false">
      <c r="B28" s="10" t="s">
        <v>306</v>
      </c>
      <c r="C28" s="7" t="n">
        <f aca="false">C26*$C$6</f>
        <v>1244.093922</v>
      </c>
      <c r="D28" s="7" t="n">
        <f aca="false">D26*$C$6</f>
        <v>1244.093922</v>
      </c>
      <c r="E28" s="7" t="n">
        <f aca="false">E26*$C$6</f>
        <v>1244.093922</v>
      </c>
      <c r="F28" s="7" t="n">
        <f aca="false">F26*$C$6</f>
        <v>1501.491828</v>
      </c>
      <c r="G28" s="7" t="n">
        <f aca="false">G26*$C$6</f>
        <v>1501.491828</v>
      </c>
      <c r="H28" s="7" t="n">
        <f aca="false">H26*$C$6</f>
        <v>1501.491828</v>
      </c>
      <c r="I28" s="7" t="n">
        <f aca="false">I26*$C$6</f>
        <v>1715.990394</v>
      </c>
      <c r="J28" s="7" t="n">
        <f aca="false">J26*$C$6</f>
        <v>1715.990394</v>
      </c>
      <c r="K28" s="7" t="n">
        <f aca="false">K26*$C$6</f>
        <v>1715.990394</v>
      </c>
      <c r="L28" s="7" t="n">
        <f aca="false">L26*$C$6</f>
        <v>1882.823856</v>
      </c>
      <c r="M28" s="7" t="n">
        <f aca="false">M26*$C$6</f>
        <v>1882.823856</v>
      </c>
      <c r="N28" s="7" t="n">
        <f aca="false">N26*$C$6</f>
        <v>1882.823856</v>
      </c>
    </row>
    <row r="29" customFormat="false" ht="15" hidden="false" customHeight="false" outlineLevel="0" collapsed="false">
      <c r="B29" s="10" t="s">
        <v>307</v>
      </c>
      <c r="C29" s="7" t="n">
        <f aca="false">C26-C28</f>
        <v>5423.076078</v>
      </c>
      <c r="D29" s="7" t="n">
        <f aca="false">D26-D28</f>
        <v>5423.076078</v>
      </c>
      <c r="E29" s="7" t="n">
        <f aca="false">E26-E28</f>
        <v>5423.076078</v>
      </c>
      <c r="F29" s="7" t="n">
        <f aca="false">F26-F28</f>
        <v>6545.088172</v>
      </c>
      <c r="G29" s="7" t="n">
        <f aca="false">G26-G28</f>
        <v>6545.088172</v>
      </c>
      <c r="H29" s="7" t="n">
        <f aca="false">H26-H28</f>
        <v>6545.088172</v>
      </c>
      <c r="I29" s="7" t="n">
        <f aca="false">I26-I28</f>
        <v>7480.099606</v>
      </c>
      <c r="J29" s="7" t="n">
        <f aca="false">J26-J28</f>
        <v>7480.099606</v>
      </c>
      <c r="K29" s="7" t="n">
        <f aca="false">K26-K28</f>
        <v>7480.099606</v>
      </c>
      <c r="L29" s="7" t="n">
        <f aca="false">L26-L28</f>
        <v>8207.336144</v>
      </c>
      <c r="M29" s="7" t="n">
        <f aca="false">M26-M28</f>
        <v>8207.336144</v>
      </c>
      <c r="N29" s="7" t="n">
        <f aca="false">N26-N28</f>
        <v>8207.336144</v>
      </c>
    </row>
  </sheetData>
  <mergeCells count="1">
    <mergeCell ref="C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7.19"/>
    <col collapsed="false" customWidth="true" hidden="false" outlineLevel="0" max="3" min="3" style="0" width="18.45"/>
    <col collapsed="false" customWidth="true" hidden="false" outlineLevel="0" max="14" min="4" style="0" width="11"/>
    <col collapsed="false" customWidth="true" hidden="false" outlineLevel="0" max="15" min="15" style="0" width="10.1"/>
    <col collapsed="false" customWidth="true" hidden="false" outlineLevel="0" max="16" min="16" style="0" width="11.6"/>
  </cols>
  <sheetData>
    <row r="2" customFormat="false" ht="15" hidden="false" customHeight="false" outlineLevel="0" collapsed="false">
      <c r="B2" s="39" t="s">
        <v>257</v>
      </c>
      <c r="C2" s="39" t="s">
        <v>258</v>
      </c>
    </row>
    <row r="3" customFormat="false" ht="15" hidden="false" customHeight="false" outlineLevel="0" collapsed="false">
      <c r="B3" s="40" t="s">
        <v>311</v>
      </c>
      <c r="C3" s="41" t="n">
        <f aca="false">'Año 2'!N11</f>
        <v>187</v>
      </c>
    </row>
    <row r="4" customFormat="false" ht="15" hidden="false" customHeight="false" outlineLevel="0" collapsed="false">
      <c r="B4" s="42" t="s">
        <v>312</v>
      </c>
      <c r="C4" s="43" t="n">
        <v>192000</v>
      </c>
    </row>
    <row r="5" customFormat="false" ht="15" hidden="false" customHeight="false" outlineLevel="0" collapsed="false">
      <c r="B5" s="40" t="s">
        <v>313</v>
      </c>
      <c r="C5" s="41" t="n">
        <v>108000</v>
      </c>
    </row>
    <row r="6" customFormat="false" ht="15" hidden="false" customHeight="false" outlineLevel="0" collapsed="false">
      <c r="B6" s="42" t="s">
        <v>266</v>
      </c>
      <c r="C6" s="44" t="n">
        <v>0.1866</v>
      </c>
    </row>
    <row r="7" customFormat="false" ht="15" hidden="false" customHeight="false" outlineLevel="0" collapsed="false">
      <c r="B7" s="40" t="s">
        <v>267</v>
      </c>
      <c r="C7" s="45" t="n">
        <f aca="false">1-C6</f>
        <v>0.8134</v>
      </c>
    </row>
    <row r="8" customFormat="false" ht="15" hidden="false" customHeight="false" outlineLevel="0" collapsed="false">
      <c r="B8" s="42" t="s">
        <v>314</v>
      </c>
      <c r="C8" s="42" t="s">
        <v>325</v>
      </c>
    </row>
    <row r="9" customFormat="false" ht="15" hidden="false" customHeight="false" outlineLevel="0" collapsed="false">
      <c r="B9" s="46" t="s">
        <v>326</v>
      </c>
      <c r="C9" s="47" t="s">
        <v>326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customFormat="false" ht="15" hidden="false" customHeight="false" outlineLevel="0" collapsed="false">
      <c r="C10" s="2" t="s">
        <v>180</v>
      </c>
      <c r="D10" s="2" t="s">
        <v>182</v>
      </c>
      <c r="E10" s="2" t="s">
        <v>184</v>
      </c>
      <c r="F10" s="2" t="s">
        <v>273</v>
      </c>
      <c r="G10" s="2" t="s">
        <v>274</v>
      </c>
      <c r="H10" s="2" t="s">
        <v>275</v>
      </c>
      <c r="I10" s="2" t="s">
        <v>276</v>
      </c>
      <c r="J10" s="2" t="s">
        <v>277</v>
      </c>
      <c r="K10" s="2" t="s">
        <v>278</v>
      </c>
      <c r="L10" s="2" t="s">
        <v>279</v>
      </c>
      <c r="M10" s="2" t="s">
        <v>280</v>
      </c>
      <c r="N10" s="2" t="s">
        <v>281</v>
      </c>
      <c r="O10" s="2" t="s">
        <v>282</v>
      </c>
    </row>
    <row r="11" customFormat="false" ht="15" hidden="false" customHeight="false" outlineLevel="0" collapsed="false">
      <c r="B11" s="10" t="s">
        <v>317</v>
      </c>
      <c r="C11" s="7" t="n">
        <v>374</v>
      </c>
      <c r="D11" s="7" t="n">
        <v>374</v>
      </c>
      <c r="E11" s="7" t="n">
        <v>374</v>
      </c>
      <c r="F11" s="7" t="n">
        <v>374</v>
      </c>
      <c r="G11" s="7" t="n">
        <v>374</v>
      </c>
      <c r="H11" s="7" t="n">
        <v>374</v>
      </c>
      <c r="I11" s="7" t="n">
        <v>374</v>
      </c>
      <c r="J11" s="7" t="n">
        <v>374</v>
      </c>
      <c r="K11" s="7" t="n">
        <v>374</v>
      </c>
      <c r="L11" s="7" t="n">
        <v>374</v>
      </c>
      <c r="M11" s="7" t="n">
        <v>374</v>
      </c>
      <c r="N11" s="7" t="n">
        <v>374</v>
      </c>
      <c r="O11" s="7" t="n">
        <f aca="false">N11</f>
        <v>374</v>
      </c>
    </row>
    <row r="13" customFormat="false" ht="15" hidden="false" customHeight="false" outlineLevel="0" collapsed="false">
      <c r="B13" s="15" t="s">
        <v>285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B14" s="10" t="s">
        <v>318</v>
      </c>
      <c r="C14" s="7" t="n">
        <v>12325.93</v>
      </c>
      <c r="D14" s="7" t="n">
        <v>12325.93</v>
      </c>
      <c r="E14" s="7" t="n">
        <v>12325.93</v>
      </c>
      <c r="F14" s="7" t="n">
        <v>14696.3</v>
      </c>
      <c r="G14" s="7" t="n">
        <v>14696.3</v>
      </c>
      <c r="H14" s="7" t="n">
        <v>14696.3</v>
      </c>
      <c r="I14" s="7" t="n">
        <v>17066.67</v>
      </c>
      <c r="J14" s="7" t="n">
        <v>17066.67</v>
      </c>
      <c r="K14" s="7" t="n">
        <v>17066.67</v>
      </c>
      <c r="L14" s="7" t="n">
        <v>19911.11</v>
      </c>
      <c r="M14" s="7" t="n">
        <v>19911.11</v>
      </c>
      <c r="N14" s="7" t="n">
        <v>19911.11</v>
      </c>
      <c r="O14" s="7" t="n">
        <f aca="false">SUM(C14:N14)</f>
        <v>192000.03</v>
      </c>
    </row>
    <row r="15" customFormat="false" ht="15" hidden="false" customHeight="false" outlineLevel="0" collapsed="false">
      <c r="B15" s="48" t="s">
        <v>289</v>
      </c>
      <c r="C15" s="20" t="n">
        <f aca="false">C14</f>
        <v>12325.93</v>
      </c>
      <c r="D15" s="20" t="n">
        <f aca="false">D14</f>
        <v>12325.93</v>
      </c>
      <c r="E15" s="20" t="n">
        <f aca="false">E14</f>
        <v>12325.93</v>
      </c>
      <c r="F15" s="20" t="n">
        <f aca="false">F14</f>
        <v>14696.3</v>
      </c>
      <c r="G15" s="20" t="n">
        <f aca="false">G14</f>
        <v>14696.3</v>
      </c>
      <c r="H15" s="20" t="n">
        <f aca="false">H14</f>
        <v>14696.3</v>
      </c>
      <c r="I15" s="20" t="n">
        <f aca="false">I14</f>
        <v>17066.67</v>
      </c>
      <c r="J15" s="20" t="n">
        <f aca="false">J14</f>
        <v>17066.67</v>
      </c>
      <c r="K15" s="20" t="n">
        <f aca="false">K14</f>
        <v>17066.67</v>
      </c>
      <c r="L15" s="20" t="n">
        <f aca="false">L14</f>
        <v>19911.11</v>
      </c>
      <c r="M15" s="20" t="n">
        <f aca="false">M14</f>
        <v>19911.11</v>
      </c>
      <c r="N15" s="20" t="n">
        <f aca="false">N14</f>
        <v>19911.11</v>
      </c>
      <c r="O15" s="20" t="n">
        <f aca="false">SUM(C15:N15)</f>
        <v>192000.03</v>
      </c>
    </row>
    <row r="17" customFormat="false" ht="15" hidden="false" customHeight="false" outlineLevel="0" collapsed="false">
      <c r="B17" s="15" t="s">
        <v>290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B18" s="10" t="s">
        <v>319</v>
      </c>
      <c r="C18" s="7" t="n">
        <v>2625</v>
      </c>
      <c r="D18" s="7" t="n">
        <v>2625</v>
      </c>
      <c r="E18" s="7" t="n">
        <v>2625</v>
      </c>
      <c r="F18" s="7" t="n">
        <v>2975</v>
      </c>
      <c r="G18" s="7" t="n">
        <v>2975</v>
      </c>
      <c r="H18" s="7" t="n">
        <v>2975</v>
      </c>
      <c r="I18" s="7" t="n">
        <v>3325</v>
      </c>
      <c r="J18" s="7" t="n">
        <v>3325</v>
      </c>
      <c r="K18" s="7" t="n">
        <v>3325</v>
      </c>
      <c r="L18" s="7" t="n">
        <v>3675</v>
      </c>
      <c r="M18" s="7" t="n">
        <v>3675</v>
      </c>
      <c r="N18" s="7" t="n">
        <v>3675</v>
      </c>
      <c r="O18" s="7" t="n">
        <f aca="false">SUM(C18:N18)</f>
        <v>37800</v>
      </c>
    </row>
    <row r="19" customFormat="false" ht="15" hidden="false" customHeight="false" outlineLevel="0" collapsed="false">
      <c r="B19" s="10" t="s">
        <v>320</v>
      </c>
      <c r="C19" s="7" t="n">
        <v>1350</v>
      </c>
      <c r="D19" s="7" t="n">
        <v>1350</v>
      </c>
      <c r="E19" s="7" t="n">
        <v>1350</v>
      </c>
      <c r="F19" s="7" t="n">
        <v>1530</v>
      </c>
      <c r="G19" s="7" t="n">
        <v>1530</v>
      </c>
      <c r="H19" s="7" t="n">
        <v>1530</v>
      </c>
      <c r="I19" s="7" t="n">
        <v>1710</v>
      </c>
      <c r="J19" s="7" t="n">
        <v>1710</v>
      </c>
      <c r="K19" s="7" t="n">
        <v>1710</v>
      </c>
      <c r="L19" s="7" t="n">
        <v>1890</v>
      </c>
      <c r="M19" s="7" t="n">
        <v>1890</v>
      </c>
      <c r="N19" s="7" t="n">
        <v>1890</v>
      </c>
      <c r="O19" s="7" t="n">
        <f aca="false">SUM(C19:N19)</f>
        <v>19440</v>
      </c>
    </row>
    <row r="20" customFormat="false" ht="15" hidden="false" customHeight="false" outlineLevel="0" collapsed="false">
      <c r="B20" s="10" t="s">
        <v>321</v>
      </c>
      <c r="C20" s="7" t="n">
        <v>600</v>
      </c>
      <c r="D20" s="7" t="n">
        <v>600</v>
      </c>
      <c r="E20" s="7" t="n">
        <v>600</v>
      </c>
      <c r="F20" s="7" t="n">
        <v>680</v>
      </c>
      <c r="G20" s="7" t="n">
        <v>680</v>
      </c>
      <c r="H20" s="7" t="n">
        <v>680</v>
      </c>
      <c r="I20" s="7" t="n">
        <v>760</v>
      </c>
      <c r="J20" s="7" t="n">
        <v>760</v>
      </c>
      <c r="K20" s="7" t="n">
        <v>760</v>
      </c>
      <c r="L20" s="7" t="n">
        <v>840</v>
      </c>
      <c r="M20" s="7" t="n">
        <v>840</v>
      </c>
      <c r="N20" s="7" t="n">
        <v>840</v>
      </c>
      <c r="O20" s="7" t="n">
        <f aca="false">SUM(C20:N20)</f>
        <v>8640</v>
      </c>
    </row>
    <row r="21" customFormat="false" ht="15" hidden="false" customHeight="false" outlineLevel="0" collapsed="false">
      <c r="B21" s="10" t="s">
        <v>322</v>
      </c>
      <c r="C21" s="7" t="n">
        <v>525</v>
      </c>
      <c r="D21" s="7" t="n">
        <v>525</v>
      </c>
      <c r="E21" s="7" t="n">
        <v>525</v>
      </c>
      <c r="F21" s="7" t="n">
        <v>595</v>
      </c>
      <c r="G21" s="7" t="n">
        <v>595</v>
      </c>
      <c r="H21" s="7" t="n">
        <v>595</v>
      </c>
      <c r="I21" s="7" t="n">
        <v>665</v>
      </c>
      <c r="J21" s="7" t="n">
        <v>665</v>
      </c>
      <c r="K21" s="7" t="n">
        <v>665</v>
      </c>
      <c r="L21" s="7" t="n">
        <v>735</v>
      </c>
      <c r="M21" s="7" t="n">
        <v>735</v>
      </c>
      <c r="N21" s="7" t="n">
        <v>735</v>
      </c>
      <c r="O21" s="7" t="n">
        <f aca="false">SUM(C21:N21)</f>
        <v>7560</v>
      </c>
    </row>
    <row r="22" customFormat="false" ht="15" hidden="false" customHeight="false" outlineLevel="0" collapsed="false">
      <c r="B22" s="10" t="s">
        <v>323</v>
      </c>
      <c r="C22" s="7" t="n">
        <v>900</v>
      </c>
      <c r="D22" s="7" t="n">
        <v>900</v>
      </c>
      <c r="E22" s="7" t="n">
        <v>900</v>
      </c>
      <c r="F22" s="7" t="n">
        <v>1020</v>
      </c>
      <c r="G22" s="7" t="n">
        <v>1020</v>
      </c>
      <c r="H22" s="7" t="n">
        <v>1020</v>
      </c>
      <c r="I22" s="7" t="n">
        <v>1140</v>
      </c>
      <c r="J22" s="7" t="n">
        <v>1140</v>
      </c>
      <c r="K22" s="7" t="n">
        <v>1140</v>
      </c>
      <c r="L22" s="7" t="n">
        <v>1260</v>
      </c>
      <c r="M22" s="7" t="n">
        <v>1260</v>
      </c>
      <c r="N22" s="7" t="n">
        <v>1260</v>
      </c>
      <c r="O22" s="7" t="n">
        <f aca="false">SUM(C22:N22)</f>
        <v>12960</v>
      </c>
    </row>
    <row r="23" customFormat="false" ht="15" hidden="false" customHeight="false" outlineLevel="0" collapsed="false">
      <c r="B23" s="10" t="s">
        <v>324</v>
      </c>
      <c r="C23" s="7" t="n">
        <v>1500</v>
      </c>
      <c r="D23" s="7" t="n">
        <v>1500</v>
      </c>
      <c r="E23" s="7" t="n">
        <v>1500</v>
      </c>
      <c r="F23" s="7" t="n">
        <v>1700</v>
      </c>
      <c r="G23" s="7" t="n">
        <v>1700</v>
      </c>
      <c r="H23" s="7" t="n">
        <v>1700</v>
      </c>
      <c r="I23" s="7" t="n">
        <v>1900</v>
      </c>
      <c r="J23" s="7" t="n">
        <v>1900</v>
      </c>
      <c r="K23" s="7" t="n">
        <v>1900</v>
      </c>
      <c r="L23" s="7" t="n">
        <v>2100</v>
      </c>
      <c r="M23" s="7" t="n">
        <v>2100</v>
      </c>
      <c r="N23" s="7" t="n">
        <v>2100</v>
      </c>
      <c r="O23" s="7" t="n">
        <f aca="false">SUM(C23:N23)</f>
        <v>21600</v>
      </c>
    </row>
    <row r="24" customFormat="false" ht="15" hidden="false" customHeight="false" outlineLevel="0" collapsed="false">
      <c r="B24" s="48" t="s">
        <v>303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 t="n">
        <f aca="false">SUM(C18:N23)</f>
        <v>108000</v>
      </c>
    </row>
    <row r="26" customFormat="false" ht="15" hidden="false" customHeight="false" outlineLevel="0" collapsed="false">
      <c r="B26" s="48" t="s">
        <v>304</v>
      </c>
      <c r="C26" s="20" t="n">
        <f aca="false">C15-C24</f>
        <v>12325.93</v>
      </c>
      <c r="D26" s="20" t="n">
        <f aca="false">D15-D24</f>
        <v>12325.93</v>
      </c>
      <c r="E26" s="20" t="n">
        <f aca="false">E15-E24</f>
        <v>12325.93</v>
      </c>
      <c r="F26" s="20" t="n">
        <f aca="false">F15-F24</f>
        <v>14696.3</v>
      </c>
      <c r="G26" s="20" t="n">
        <f aca="false">G15-G24</f>
        <v>14696.3</v>
      </c>
      <c r="H26" s="20" t="n">
        <f aca="false">H15-H24</f>
        <v>14696.3</v>
      </c>
      <c r="I26" s="20" t="n">
        <f aca="false">I15-I24</f>
        <v>17066.67</v>
      </c>
      <c r="J26" s="20" t="n">
        <f aca="false">J15-J24</f>
        <v>17066.67</v>
      </c>
      <c r="K26" s="20" t="n">
        <f aca="false">K15-K24</f>
        <v>17066.67</v>
      </c>
      <c r="L26" s="20" t="n">
        <f aca="false">L15-L24</f>
        <v>19911.11</v>
      </c>
      <c r="M26" s="20" t="n">
        <f aca="false">M15-M24</f>
        <v>19911.11</v>
      </c>
      <c r="N26" s="20" t="n">
        <f aca="false">N15-N24</f>
        <v>19911.11</v>
      </c>
      <c r="O26" s="20" t="n">
        <f aca="false">SUM(C26:N26)</f>
        <v>192000.03</v>
      </c>
    </row>
    <row r="27" customFormat="false" ht="15" hidden="false" customHeight="false" outlineLevel="0" collapsed="false">
      <c r="B27" s="10" t="s">
        <v>305</v>
      </c>
      <c r="C27" s="7" t="n">
        <f aca="false">C26</f>
        <v>12325.93</v>
      </c>
      <c r="D27" s="7" t="n">
        <f aca="false">C27+D26</f>
        <v>24651.86</v>
      </c>
      <c r="E27" s="7" t="n">
        <f aca="false">D27+E26</f>
        <v>36977.79</v>
      </c>
      <c r="F27" s="7" t="n">
        <f aca="false">E27+F26</f>
        <v>51674.09</v>
      </c>
      <c r="G27" s="7" t="n">
        <f aca="false">F27+G26</f>
        <v>66370.39</v>
      </c>
      <c r="H27" s="7" t="n">
        <f aca="false">G27+H26</f>
        <v>81066.69</v>
      </c>
      <c r="I27" s="7" t="n">
        <f aca="false">H27+I26</f>
        <v>98133.36</v>
      </c>
      <c r="J27" s="7" t="n">
        <f aca="false">I27+J26</f>
        <v>115200.03</v>
      </c>
      <c r="K27" s="7" t="n">
        <f aca="false">J27+K26</f>
        <v>132266.7</v>
      </c>
      <c r="L27" s="7" t="n">
        <f aca="false">K27+L26</f>
        <v>152177.81</v>
      </c>
      <c r="M27" s="7" t="n">
        <f aca="false">L27+M26</f>
        <v>172088.92</v>
      </c>
      <c r="N27" s="7" t="n">
        <f aca="false">M27+N26</f>
        <v>192000.03</v>
      </c>
      <c r="O27" s="7" t="n">
        <f aca="false">N27</f>
        <v>192000.03</v>
      </c>
    </row>
    <row r="28" customFormat="false" ht="15" hidden="false" customHeight="false" outlineLevel="0" collapsed="false">
      <c r="B28" s="10" t="s">
        <v>306</v>
      </c>
      <c r="C28" s="7" t="n">
        <f aca="false">C26*$C$6</f>
        <v>2300.018538</v>
      </c>
      <c r="D28" s="7" t="n">
        <f aca="false">D26*$C$6</f>
        <v>2300.018538</v>
      </c>
      <c r="E28" s="7" t="n">
        <f aca="false">E26*$C$6</f>
        <v>2300.018538</v>
      </c>
      <c r="F28" s="7" t="n">
        <f aca="false">F26*$C$6</f>
        <v>2742.32958</v>
      </c>
      <c r="G28" s="7" t="n">
        <f aca="false">G26*$C$6</f>
        <v>2742.32958</v>
      </c>
      <c r="H28" s="7" t="n">
        <f aca="false">H26*$C$6</f>
        <v>2742.32958</v>
      </c>
      <c r="I28" s="7" t="n">
        <f aca="false">I26*$C$6</f>
        <v>3184.640622</v>
      </c>
      <c r="J28" s="7" t="n">
        <f aca="false">J26*$C$6</f>
        <v>3184.640622</v>
      </c>
      <c r="K28" s="7" t="n">
        <f aca="false">K26*$C$6</f>
        <v>3184.640622</v>
      </c>
      <c r="L28" s="7" t="n">
        <f aca="false">L26*$C$6</f>
        <v>3715.413126</v>
      </c>
      <c r="M28" s="7" t="n">
        <f aca="false">M26*$C$6</f>
        <v>3715.413126</v>
      </c>
      <c r="N28" s="7" t="n">
        <f aca="false">N26*$C$6</f>
        <v>3715.413126</v>
      </c>
    </row>
    <row r="29" customFormat="false" ht="15" hidden="false" customHeight="false" outlineLevel="0" collapsed="false">
      <c r="B29" s="10" t="s">
        <v>307</v>
      </c>
      <c r="C29" s="7" t="n">
        <f aca="false">C26-C28</f>
        <v>10025.911462</v>
      </c>
      <c r="D29" s="7" t="n">
        <f aca="false">D26-D28</f>
        <v>10025.911462</v>
      </c>
      <c r="E29" s="7" t="n">
        <f aca="false">E26-E28</f>
        <v>10025.911462</v>
      </c>
      <c r="F29" s="7" t="n">
        <f aca="false">F26-F28</f>
        <v>11953.97042</v>
      </c>
      <c r="G29" s="7" t="n">
        <f aca="false">G26-G28</f>
        <v>11953.97042</v>
      </c>
      <c r="H29" s="7" t="n">
        <f aca="false">H26-H28</f>
        <v>11953.97042</v>
      </c>
      <c r="I29" s="7" t="n">
        <f aca="false">I26-I28</f>
        <v>13882.029378</v>
      </c>
      <c r="J29" s="7" t="n">
        <f aca="false">J26-J28</f>
        <v>13882.029378</v>
      </c>
      <c r="K29" s="7" t="n">
        <f aca="false">K26-K28</f>
        <v>13882.029378</v>
      </c>
      <c r="L29" s="7" t="n">
        <f aca="false">L26-L28</f>
        <v>16195.696874</v>
      </c>
      <c r="M29" s="7" t="n">
        <f aca="false">M26-M28</f>
        <v>16195.696874</v>
      </c>
      <c r="N29" s="7" t="n">
        <f aca="false">N26-N28</f>
        <v>16195.696874</v>
      </c>
    </row>
  </sheetData>
  <mergeCells count="1">
    <mergeCell ref="C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6"/>
    <col collapsed="false" customWidth="true" hidden="false" outlineLevel="0" max="2" min="2" style="0" width="41.15"/>
    <col collapsed="false" customWidth="true" hidden="false" outlineLevel="0" max="3" min="3" style="0" width="22.99"/>
    <col collapsed="false" customWidth="true" hidden="false" outlineLevel="0" max="14" min="4" style="0" width="11"/>
    <col collapsed="false" customWidth="true" hidden="false" outlineLevel="0" max="15" min="15" style="0" width="9.8"/>
    <col collapsed="false" customWidth="true" hidden="false" outlineLevel="0" max="16" min="16" style="0" width="11.6"/>
  </cols>
  <sheetData>
    <row r="2" customFormat="false" ht="15" hidden="false" customHeight="false" outlineLevel="0" collapsed="false">
      <c r="B2" s="39" t="s">
        <v>257</v>
      </c>
      <c r="C2" s="39" t="s">
        <v>258</v>
      </c>
    </row>
    <row r="3" customFormat="false" ht="15" hidden="false" customHeight="false" outlineLevel="0" collapsed="false">
      <c r="B3" s="40" t="s">
        <v>311</v>
      </c>
      <c r="C3" s="41" t="n">
        <f aca="false">'Año 3'!N11</f>
        <v>374</v>
      </c>
    </row>
    <row r="4" customFormat="false" ht="15" hidden="false" customHeight="false" outlineLevel="0" collapsed="false">
      <c r="B4" s="42" t="s">
        <v>312</v>
      </c>
      <c r="C4" s="43" t="n">
        <v>240000</v>
      </c>
    </row>
    <row r="5" customFormat="false" ht="15" hidden="false" customHeight="false" outlineLevel="0" collapsed="false">
      <c r="B5" s="40" t="s">
        <v>313</v>
      </c>
      <c r="C5" s="41" t="n">
        <v>130000</v>
      </c>
    </row>
    <row r="6" customFormat="false" ht="15" hidden="false" customHeight="false" outlineLevel="0" collapsed="false">
      <c r="B6" s="42" t="s">
        <v>266</v>
      </c>
      <c r="C6" s="44" t="n">
        <v>0.1866</v>
      </c>
    </row>
    <row r="7" customFormat="false" ht="15" hidden="false" customHeight="false" outlineLevel="0" collapsed="false">
      <c r="B7" s="40" t="s">
        <v>267</v>
      </c>
      <c r="C7" s="45" t="n">
        <f aca="false">1-C6</f>
        <v>0.8134</v>
      </c>
    </row>
    <row r="8" customFormat="false" ht="15" hidden="false" customHeight="false" outlineLevel="0" collapsed="false">
      <c r="B8" s="42" t="s">
        <v>314</v>
      </c>
      <c r="C8" s="42" t="s">
        <v>327</v>
      </c>
    </row>
    <row r="9" customFormat="false" ht="15" hidden="false" customHeight="false" outlineLevel="0" collapsed="false">
      <c r="B9" s="46" t="s">
        <v>328</v>
      </c>
      <c r="C9" s="47" t="s">
        <v>328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customFormat="false" ht="15" hidden="false" customHeight="false" outlineLevel="0" collapsed="false">
      <c r="C10" s="2" t="s">
        <v>180</v>
      </c>
      <c r="D10" s="2" t="s">
        <v>182</v>
      </c>
      <c r="E10" s="2" t="s">
        <v>184</v>
      </c>
      <c r="F10" s="2" t="s">
        <v>273</v>
      </c>
      <c r="G10" s="2" t="s">
        <v>274</v>
      </c>
      <c r="H10" s="2" t="s">
        <v>275</v>
      </c>
      <c r="I10" s="2" t="s">
        <v>276</v>
      </c>
      <c r="J10" s="2" t="s">
        <v>277</v>
      </c>
      <c r="K10" s="2" t="s">
        <v>278</v>
      </c>
      <c r="L10" s="2" t="s">
        <v>279</v>
      </c>
      <c r="M10" s="2" t="s">
        <v>280</v>
      </c>
      <c r="N10" s="2" t="s">
        <v>281</v>
      </c>
      <c r="O10" s="2" t="s">
        <v>282</v>
      </c>
    </row>
    <row r="11" customFormat="false" ht="15" hidden="false" customHeight="false" outlineLevel="0" collapsed="false">
      <c r="B11" s="10" t="s">
        <v>317</v>
      </c>
      <c r="C11" s="7" t="n">
        <v>442</v>
      </c>
      <c r="D11" s="7" t="n">
        <v>442</v>
      </c>
      <c r="E11" s="7" t="n">
        <v>442</v>
      </c>
      <c r="F11" s="7" t="n">
        <v>442</v>
      </c>
      <c r="G11" s="7" t="n">
        <v>442</v>
      </c>
      <c r="H11" s="7" t="n">
        <v>442</v>
      </c>
      <c r="I11" s="7" t="n">
        <v>442</v>
      </c>
      <c r="J11" s="7" t="n">
        <v>442</v>
      </c>
      <c r="K11" s="7" t="n">
        <v>442</v>
      </c>
      <c r="L11" s="7" t="n">
        <v>442</v>
      </c>
      <c r="M11" s="7" t="n">
        <v>442</v>
      </c>
      <c r="N11" s="7" t="n">
        <v>442</v>
      </c>
      <c r="O11" s="7" t="n">
        <f aca="false">N11</f>
        <v>442</v>
      </c>
    </row>
    <row r="13" customFormat="false" ht="15" hidden="false" customHeight="false" outlineLevel="0" collapsed="false">
      <c r="B13" s="15" t="s">
        <v>285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B14" s="10" t="s">
        <v>318</v>
      </c>
      <c r="C14" s="7" t="n">
        <v>20000</v>
      </c>
      <c r="D14" s="7" t="n">
        <v>20000</v>
      </c>
      <c r="E14" s="7" t="n">
        <v>20000</v>
      </c>
      <c r="F14" s="7" t="n">
        <v>20000</v>
      </c>
      <c r="G14" s="7" t="n">
        <v>20000</v>
      </c>
      <c r="H14" s="7" t="n">
        <v>20000</v>
      </c>
      <c r="I14" s="7" t="n">
        <v>20000</v>
      </c>
      <c r="J14" s="7" t="n">
        <v>20000</v>
      </c>
      <c r="K14" s="7" t="n">
        <v>20000</v>
      </c>
      <c r="L14" s="7" t="n">
        <v>20000</v>
      </c>
      <c r="M14" s="7" t="n">
        <v>20000</v>
      </c>
      <c r="N14" s="7" t="n">
        <v>20000</v>
      </c>
      <c r="O14" s="7" t="n">
        <f aca="false">SUM(C14:N14)</f>
        <v>240000</v>
      </c>
    </row>
    <row r="15" customFormat="false" ht="15" hidden="false" customHeight="false" outlineLevel="0" collapsed="false">
      <c r="B15" s="48" t="s">
        <v>289</v>
      </c>
      <c r="C15" s="20" t="n">
        <f aca="false">C14</f>
        <v>20000</v>
      </c>
      <c r="D15" s="20" t="n">
        <f aca="false">D14</f>
        <v>20000</v>
      </c>
      <c r="E15" s="20" t="n">
        <f aca="false">E14</f>
        <v>20000</v>
      </c>
      <c r="F15" s="20" t="n">
        <f aca="false">F14</f>
        <v>20000</v>
      </c>
      <c r="G15" s="20" t="n">
        <f aca="false">G14</f>
        <v>20000</v>
      </c>
      <c r="H15" s="20" t="n">
        <f aca="false">H14</f>
        <v>20000</v>
      </c>
      <c r="I15" s="20" t="n">
        <f aca="false">I14</f>
        <v>20000</v>
      </c>
      <c r="J15" s="20" t="n">
        <f aca="false">J14</f>
        <v>20000</v>
      </c>
      <c r="K15" s="20" t="n">
        <f aca="false">K14</f>
        <v>20000</v>
      </c>
      <c r="L15" s="20" t="n">
        <f aca="false">L14</f>
        <v>20000</v>
      </c>
      <c r="M15" s="20" t="n">
        <f aca="false">M14</f>
        <v>20000</v>
      </c>
      <c r="N15" s="20" t="n">
        <f aca="false">N14</f>
        <v>20000</v>
      </c>
      <c r="O15" s="20" t="n">
        <f aca="false">SUM(C15:N15)</f>
        <v>240000</v>
      </c>
    </row>
    <row r="17" customFormat="false" ht="15" hidden="false" customHeight="false" outlineLevel="0" collapsed="false">
      <c r="B17" s="15" t="s">
        <v>290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B18" s="10" t="s">
        <v>319</v>
      </c>
      <c r="C18" s="7" t="n">
        <v>3791.67</v>
      </c>
      <c r="D18" s="7" t="n">
        <v>3791.67</v>
      </c>
      <c r="E18" s="7" t="n">
        <v>3791.67</v>
      </c>
      <c r="F18" s="7" t="n">
        <v>3791.67</v>
      </c>
      <c r="G18" s="7" t="n">
        <v>3791.67</v>
      </c>
      <c r="H18" s="7" t="n">
        <v>3791.67</v>
      </c>
      <c r="I18" s="7" t="n">
        <v>3791.67</v>
      </c>
      <c r="J18" s="7" t="n">
        <v>3791.67</v>
      </c>
      <c r="K18" s="7" t="n">
        <v>3791.67</v>
      </c>
      <c r="L18" s="7" t="n">
        <v>3791.67</v>
      </c>
      <c r="M18" s="7" t="n">
        <v>3791.67</v>
      </c>
      <c r="N18" s="7" t="n">
        <v>3791.67</v>
      </c>
      <c r="O18" s="7" t="n">
        <f aca="false">SUM(C18:N18)</f>
        <v>45500.04</v>
      </c>
    </row>
    <row r="19" customFormat="false" ht="15" hidden="false" customHeight="false" outlineLevel="0" collapsed="false">
      <c r="B19" s="10" t="s">
        <v>320</v>
      </c>
      <c r="C19" s="7" t="n">
        <v>1950</v>
      </c>
      <c r="D19" s="7" t="n">
        <v>1950</v>
      </c>
      <c r="E19" s="7" t="n">
        <v>1950</v>
      </c>
      <c r="F19" s="7" t="n">
        <v>1950</v>
      </c>
      <c r="G19" s="7" t="n">
        <v>1950</v>
      </c>
      <c r="H19" s="7" t="n">
        <v>1950</v>
      </c>
      <c r="I19" s="7" t="n">
        <v>1950</v>
      </c>
      <c r="J19" s="7" t="n">
        <v>1950</v>
      </c>
      <c r="K19" s="7" t="n">
        <v>1950</v>
      </c>
      <c r="L19" s="7" t="n">
        <v>1950</v>
      </c>
      <c r="M19" s="7" t="n">
        <v>1950</v>
      </c>
      <c r="N19" s="7" t="n">
        <v>1950</v>
      </c>
      <c r="O19" s="7" t="n">
        <f aca="false">SUM(C19:N19)</f>
        <v>23400</v>
      </c>
    </row>
    <row r="20" customFormat="false" ht="15" hidden="false" customHeight="false" outlineLevel="0" collapsed="false">
      <c r="B20" s="10" t="s">
        <v>321</v>
      </c>
      <c r="C20" s="7" t="n">
        <v>866.67</v>
      </c>
      <c r="D20" s="7" t="n">
        <v>866.67</v>
      </c>
      <c r="E20" s="7" t="n">
        <v>866.67</v>
      </c>
      <c r="F20" s="7" t="n">
        <v>866.67</v>
      </c>
      <c r="G20" s="7" t="n">
        <v>866.67</v>
      </c>
      <c r="H20" s="7" t="n">
        <v>866.67</v>
      </c>
      <c r="I20" s="7" t="n">
        <v>866.67</v>
      </c>
      <c r="J20" s="7" t="n">
        <v>866.67</v>
      </c>
      <c r="K20" s="7" t="n">
        <v>866.67</v>
      </c>
      <c r="L20" s="7" t="n">
        <v>866.67</v>
      </c>
      <c r="M20" s="7" t="n">
        <v>866.67</v>
      </c>
      <c r="N20" s="7" t="n">
        <v>866.67</v>
      </c>
      <c r="O20" s="7" t="n">
        <f aca="false">SUM(C20:N20)</f>
        <v>10400.04</v>
      </c>
    </row>
    <row r="21" customFormat="false" ht="15" hidden="false" customHeight="false" outlineLevel="0" collapsed="false">
      <c r="B21" s="10" t="s">
        <v>322</v>
      </c>
      <c r="C21" s="7" t="n">
        <v>758.33</v>
      </c>
      <c r="D21" s="7" t="n">
        <v>758.33</v>
      </c>
      <c r="E21" s="7" t="n">
        <v>758.33</v>
      </c>
      <c r="F21" s="7" t="n">
        <v>758.33</v>
      </c>
      <c r="G21" s="7" t="n">
        <v>758.33</v>
      </c>
      <c r="H21" s="7" t="n">
        <v>758.33</v>
      </c>
      <c r="I21" s="7" t="n">
        <v>758.33</v>
      </c>
      <c r="J21" s="7" t="n">
        <v>758.33</v>
      </c>
      <c r="K21" s="7" t="n">
        <v>758.33</v>
      </c>
      <c r="L21" s="7" t="n">
        <v>758.33</v>
      </c>
      <c r="M21" s="7" t="n">
        <v>758.33</v>
      </c>
      <c r="N21" s="7" t="n">
        <v>758.33</v>
      </c>
      <c r="O21" s="7" t="n">
        <f aca="false">SUM(C21:N21)</f>
        <v>9099.96</v>
      </c>
    </row>
    <row r="22" customFormat="false" ht="15" hidden="false" customHeight="false" outlineLevel="0" collapsed="false">
      <c r="B22" s="10" t="s">
        <v>323</v>
      </c>
      <c r="C22" s="7" t="n">
        <v>1300</v>
      </c>
      <c r="D22" s="7" t="n">
        <v>1300</v>
      </c>
      <c r="E22" s="7" t="n">
        <v>1300</v>
      </c>
      <c r="F22" s="7" t="n">
        <v>1300</v>
      </c>
      <c r="G22" s="7" t="n">
        <v>1300</v>
      </c>
      <c r="H22" s="7" t="n">
        <v>1300</v>
      </c>
      <c r="I22" s="7" t="n">
        <v>1300</v>
      </c>
      <c r="J22" s="7" t="n">
        <v>1300</v>
      </c>
      <c r="K22" s="7" t="n">
        <v>1300</v>
      </c>
      <c r="L22" s="7" t="n">
        <v>1300</v>
      </c>
      <c r="M22" s="7" t="n">
        <v>1300</v>
      </c>
      <c r="N22" s="7" t="n">
        <v>1300</v>
      </c>
      <c r="O22" s="7" t="n">
        <f aca="false">SUM(C22:N22)</f>
        <v>15600</v>
      </c>
    </row>
    <row r="23" customFormat="false" ht="15" hidden="false" customHeight="false" outlineLevel="0" collapsed="false">
      <c r="B23" s="10" t="s">
        <v>324</v>
      </c>
      <c r="C23" s="7" t="n">
        <v>2166.67</v>
      </c>
      <c r="D23" s="7" t="n">
        <v>2166.67</v>
      </c>
      <c r="E23" s="7" t="n">
        <v>2166.67</v>
      </c>
      <c r="F23" s="7" t="n">
        <v>2166.67</v>
      </c>
      <c r="G23" s="7" t="n">
        <v>2166.67</v>
      </c>
      <c r="H23" s="7" t="n">
        <v>2166.67</v>
      </c>
      <c r="I23" s="7" t="n">
        <v>2166.67</v>
      </c>
      <c r="J23" s="7" t="n">
        <v>2166.67</v>
      </c>
      <c r="K23" s="7" t="n">
        <v>2166.67</v>
      </c>
      <c r="L23" s="7" t="n">
        <v>2166.67</v>
      </c>
      <c r="M23" s="7" t="n">
        <v>2166.67</v>
      </c>
      <c r="N23" s="7" t="n">
        <v>2166.67</v>
      </c>
      <c r="O23" s="7" t="n">
        <f aca="false">SUM(C23:N23)</f>
        <v>26000.04</v>
      </c>
    </row>
    <row r="24" customFormat="false" ht="15" hidden="false" customHeight="false" outlineLevel="0" collapsed="false">
      <c r="B24" s="48" t="s">
        <v>303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 t="n">
        <f aca="false">SUM(C18:N23)</f>
        <v>130000.08</v>
      </c>
    </row>
    <row r="26" customFormat="false" ht="15" hidden="false" customHeight="false" outlineLevel="0" collapsed="false">
      <c r="B26" s="48" t="s">
        <v>304</v>
      </c>
      <c r="C26" s="20" t="n">
        <f aca="false">C15-C24</f>
        <v>20000</v>
      </c>
      <c r="D26" s="20" t="n">
        <f aca="false">D15-D24</f>
        <v>20000</v>
      </c>
      <c r="E26" s="20" t="n">
        <f aca="false">E15-E24</f>
        <v>20000</v>
      </c>
      <c r="F26" s="20" t="n">
        <f aca="false">F15-F24</f>
        <v>20000</v>
      </c>
      <c r="G26" s="20" t="n">
        <f aca="false">G15-G24</f>
        <v>20000</v>
      </c>
      <c r="H26" s="20" t="n">
        <f aca="false">H15-H24</f>
        <v>20000</v>
      </c>
      <c r="I26" s="20" t="n">
        <f aca="false">I15-I24</f>
        <v>20000</v>
      </c>
      <c r="J26" s="20" t="n">
        <f aca="false">J15-J24</f>
        <v>20000</v>
      </c>
      <c r="K26" s="20" t="n">
        <f aca="false">K15-K24</f>
        <v>20000</v>
      </c>
      <c r="L26" s="20" t="n">
        <f aca="false">L15-L24</f>
        <v>20000</v>
      </c>
      <c r="M26" s="20" t="n">
        <f aca="false">M15-M24</f>
        <v>20000</v>
      </c>
      <c r="N26" s="20" t="n">
        <f aca="false">N15-N24</f>
        <v>20000</v>
      </c>
      <c r="O26" s="20" t="n">
        <f aca="false">SUM(C26:N26)</f>
        <v>240000</v>
      </c>
    </row>
    <row r="27" customFormat="false" ht="15" hidden="false" customHeight="false" outlineLevel="0" collapsed="false">
      <c r="B27" s="10" t="s">
        <v>305</v>
      </c>
      <c r="C27" s="7" t="n">
        <f aca="false">C26</f>
        <v>20000</v>
      </c>
      <c r="D27" s="7" t="n">
        <f aca="false">C27+D26</f>
        <v>40000</v>
      </c>
      <c r="E27" s="7" t="n">
        <f aca="false">D27+E26</f>
        <v>60000</v>
      </c>
      <c r="F27" s="7" t="n">
        <f aca="false">E27+F26</f>
        <v>80000</v>
      </c>
      <c r="G27" s="7" t="n">
        <f aca="false">F27+G26</f>
        <v>100000</v>
      </c>
      <c r="H27" s="7" t="n">
        <f aca="false">G27+H26</f>
        <v>120000</v>
      </c>
      <c r="I27" s="7" t="n">
        <f aca="false">H27+I26</f>
        <v>140000</v>
      </c>
      <c r="J27" s="7" t="n">
        <f aca="false">I27+J26</f>
        <v>160000</v>
      </c>
      <c r="K27" s="7" t="n">
        <f aca="false">J27+K26</f>
        <v>180000</v>
      </c>
      <c r="L27" s="7" t="n">
        <f aca="false">K27+L26</f>
        <v>200000</v>
      </c>
      <c r="M27" s="7" t="n">
        <f aca="false">L27+M26</f>
        <v>220000</v>
      </c>
      <c r="N27" s="7" t="n">
        <f aca="false">M27+N26</f>
        <v>240000</v>
      </c>
      <c r="O27" s="7" t="n">
        <f aca="false">N27</f>
        <v>240000</v>
      </c>
    </row>
    <row r="28" customFormat="false" ht="15" hidden="false" customHeight="false" outlineLevel="0" collapsed="false">
      <c r="B28" s="10" t="s">
        <v>306</v>
      </c>
      <c r="C28" s="7" t="n">
        <f aca="false">C26*$C$6</f>
        <v>3732</v>
      </c>
      <c r="D28" s="7" t="n">
        <f aca="false">D26*$C$6</f>
        <v>3732</v>
      </c>
      <c r="E28" s="7" t="n">
        <f aca="false">E26*$C$6</f>
        <v>3732</v>
      </c>
      <c r="F28" s="7" t="n">
        <f aca="false">F26*$C$6</f>
        <v>3732</v>
      </c>
      <c r="G28" s="7" t="n">
        <f aca="false">G26*$C$6</f>
        <v>3732</v>
      </c>
      <c r="H28" s="7" t="n">
        <f aca="false">H26*$C$6</f>
        <v>3732</v>
      </c>
      <c r="I28" s="7" t="n">
        <f aca="false">I26*$C$6</f>
        <v>3732</v>
      </c>
      <c r="J28" s="7" t="n">
        <f aca="false">J26*$C$6</f>
        <v>3732</v>
      </c>
      <c r="K28" s="7" t="n">
        <f aca="false">K26*$C$6</f>
        <v>3732</v>
      </c>
      <c r="L28" s="7" t="n">
        <f aca="false">L26*$C$6</f>
        <v>3732</v>
      </c>
      <c r="M28" s="7" t="n">
        <f aca="false">M26*$C$6</f>
        <v>3732</v>
      </c>
      <c r="N28" s="7" t="n">
        <f aca="false">N26*$C$6</f>
        <v>3732</v>
      </c>
    </row>
    <row r="29" customFormat="false" ht="15" hidden="false" customHeight="false" outlineLevel="0" collapsed="false">
      <c r="B29" s="10" t="s">
        <v>307</v>
      </c>
      <c r="C29" s="7" t="n">
        <f aca="false">C26-C28</f>
        <v>16268</v>
      </c>
      <c r="D29" s="7" t="n">
        <f aca="false">D26-D28</f>
        <v>16268</v>
      </c>
      <c r="E29" s="7" t="n">
        <f aca="false">E26-E28</f>
        <v>16268</v>
      </c>
      <c r="F29" s="7" t="n">
        <f aca="false">F26-F28</f>
        <v>16268</v>
      </c>
      <c r="G29" s="7" t="n">
        <f aca="false">G26-G28</f>
        <v>16268</v>
      </c>
      <c r="H29" s="7" t="n">
        <f aca="false">H26-H28</f>
        <v>16268</v>
      </c>
      <c r="I29" s="7" t="n">
        <f aca="false">I26-I28</f>
        <v>16268</v>
      </c>
      <c r="J29" s="7" t="n">
        <f aca="false">J26-J28</f>
        <v>16268</v>
      </c>
      <c r="K29" s="7" t="n">
        <f aca="false">K26-K28</f>
        <v>16268</v>
      </c>
      <c r="L29" s="7" t="n">
        <f aca="false">L26-L28</f>
        <v>16268</v>
      </c>
      <c r="M29" s="7" t="n">
        <f aca="false">M26-M28</f>
        <v>16268</v>
      </c>
      <c r="N29" s="7" t="n">
        <f aca="false">N26-N28</f>
        <v>16268</v>
      </c>
    </row>
  </sheetData>
  <mergeCells count="1">
    <mergeCell ref="C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42.9"/>
    <col collapsed="false" customWidth="true" hidden="false" outlineLevel="0" max="3" min="3" style="0" width="18.88"/>
    <col collapsed="false" customWidth="true" hidden="false" outlineLevel="0" max="14" min="4" style="0" width="11"/>
    <col collapsed="false" customWidth="true" hidden="false" outlineLevel="0" max="15" min="15" style="0" width="11.6"/>
  </cols>
  <sheetData>
    <row r="2" customFormat="false" ht="15" hidden="false" customHeight="false" outlineLevel="0" collapsed="false">
      <c r="B2" s="39" t="s">
        <v>257</v>
      </c>
      <c r="C2" s="39" t="s">
        <v>258</v>
      </c>
    </row>
    <row r="3" customFormat="false" ht="15" hidden="false" customHeight="false" outlineLevel="0" collapsed="false">
      <c r="B3" s="40" t="s">
        <v>311</v>
      </c>
      <c r="C3" s="41" t="n">
        <f aca="false">'Año 4'!N11</f>
        <v>442</v>
      </c>
    </row>
    <row r="4" customFormat="false" ht="15" hidden="false" customHeight="false" outlineLevel="0" collapsed="false">
      <c r="B4" s="42" t="s">
        <v>312</v>
      </c>
      <c r="C4" s="43" t="n">
        <v>300000</v>
      </c>
    </row>
    <row r="5" customFormat="false" ht="15" hidden="false" customHeight="false" outlineLevel="0" collapsed="false">
      <c r="B5" s="40" t="s">
        <v>313</v>
      </c>
      <c r="C5" s="41" t="n">
        <v>150000</v>
      </c>
    </row>
    <row r="6" customFormat="false" ht="15" hidden="false" customHeight="false" outlineLevel="0" collapsed="false">
      <c r="B6" s="42" t="s">
        <v>266</v>
      </c>
      <c r="C6" s="44" t="n">
        <v>0.1866</v>
      </c>
    </row>
    <row r="7" customFormat="false" ht="15" hidden="false" customHeight="false" outlineLevel="0" collapsed="false">
      <c r="B7" s="40" t="s">
        <v>267</v>
      </c>
      <c r="C7" s="45" t="n">
        <f aca="false">1-C6</f>
        <v>0.8134</v>
      </c>
    </row>
    <row r="8" customFormat="false" ht="15" hidden="false" customHeight="false" outlineLevel="0" collapsed="false">
      <c r="B8" s="42" t="s">
        <v>314</v>
      </c>
      <c r="C8" s="42" t="s">
        <v>327</v>
      </c>
    </row>
    <row r="9" customFormat="false" ht="15" hidden="false" customHeight="false" outlineLevel="0" collapsed="false">
      <c r="B9" s="46" t="s">
        <v>329</v>
      </c>
      <c r="C9" s="47" t="s">
        <v>329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customFormat="false" ht="15" hidden="false" customHeight="false" outlineLevel="0" collapsed="false">
      <c r="C10" s="2" t="s">
        <v>180</v>
      </c>
      <c r="D10" s="2" t="s">
        <v>182</v>
      </c>
      <c r="E10" s="2" t="s">
        <v>184</v>
      </c>
      <c r="F10" s="2" t="s">
        <v>273</v>
      </c>
      <c r="G10" s="2" t="s">
        <v>274</v>
      </c>
      <c r="H10" s="2" t="s">
        <v>275</v>
      </c>
      <c r="I10" s="2" t="s">
        <v>276</v>
      </c>
      <c r="J10" s="2" t="s">
        <v>277</v>
      </c>
      <c r="K10" s="2" t="s">
        <v>278</v>
      </c>
      <c r="L10" s="2" t="s">
        <v>279</v>
      </c>
      <c r="M10" s="2" t="s">
        <v>280</v>
      </c>
      <c r="N10" s="2" t="s">
        <v>281</v>
      </c>
      <c r="O10" s="2" t="s">
        <v>282</v>
      </c>
    </row>
    <row r="11" customFormat="false" ht="15" hidden="false" customHeight="false" outlineLevel="0" collapsed="false">
      <c r="B11" s="10" t="s">
        <v>317</v>
      </c>
      <c r="C11" s="7" t="n">
        <v>510</v>
      </c>
      <c r="D11" s="7" t="n">
        <v>510</v>
      </c>
      <c r="E11" s="7" t="n">
        <v>510</v>
      </c>
      <c r="F11" s="7" t="n">
        <v>510</v>
      </c>
      <c r="G11" s="7" t="n">
        <v>510</v>
      </c>
      <c r="H11" s="7" t="n">
        <v>510</v>
      </c>
      <c r="I11" s="7" t="n">
        <v>510</v>
      </c>
      <c r="J11" s="7" t="n">
        <v>510</v>
      </c>
      <c r="K11" s="7" t="n">
        <v>510</v>
      </c>
      <c r="L11" s="7" t="n">
        <v>510</v>
      </c>
      <c r="M11" s="7" t="n">
        <v>510</v>
      </c>
      <c r="N11" s="7" t="n">
        <v>510</v>
      </c>
      <c r="O11" s="7" t="n">
        <f aca="false">N11</f>
        <v>510</v>
      </c>
    </row>
    <row r="13" customFormat="false" ht="15" hidden="false" customHeight="false" outlineLevel="0" collapsed="false">
      <c r="B13" s="15" t="s">
        <v>285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customFormat="false" ht="15" hidden="false" customHeight="false" outlineLevel="0" collapsed="false">
      <c r="B14" s="10" t="s">
        <v>318</v>
      </c>
      <c r="C14" s="7" t="n">
        <v>25000</v>
      </c>
      <c r="D14" s="7" t="n">
        <v>25000</v>
      </c>
      <c r="E14" s="7" t="n">
        <v>25000</v>
      </c>
      <c r="F14" s="7" t="n">
        <v>25000</v>
      </c>
      <c r="G14" s="7" t="n">
        <v>25000</v>
      </c>
      <c r="H14" s="7" t="n">
        <v>25000</v>
      </c>
      <c r="I14" s="7" t="n">
        <v>25000</v>
      </c>
      <c r="J14" s="7" t="n">
        <v>25000</v>
      </c>
      <c r="K14" s="7" t="n">
        <v>25000</v>
      </c>
      <c r="L14" s="7" t="n">
        <v>25000</v>
      </c>
      <c r="M14" s="7" t="n">
        <v>25000</v>
      </c>
      <c r="N14" s="7" t="n">
        <v>25000</v>
      </c>
      <c r="O14" s="7" t="n">
        <f aca="false">SUM(C14:N14)</f>
        <v>300000</v>
      </c>
    </row>
    <row r="15" customFormat="false" ht="15" hidden="false" customHeight="false" outlineLevel="0" collapsed="false">
      <c r="B15" s="48" t="s">
        <v>289</v>
      </c>
      <c r="C15" s="20" t="n">
        <f aca="false">C14</f>
        <v>25000</v>
      </c>
      <c r="D15" s="20" t="n">
        <f aca="false">D14</f>
        <v>25000</v>
      </c>
      <c r="E15" s="20" t="n">
        <f aca="false">E14</f>
        <v>25000</v>
      </c>
      <c r="F15" s="20" t="n">
        <f aca="false">F14</f>
        <v>25000</v>
      </c>
      <c r="G15" s="20" t="n">
        <f aca="false">G14</f>
        <v>25000</v>
      </c>
      <c r="H15" s="20" t="n">
        <f aca="false">H14</f>
        <v>25000</v>
      </c>
      <c r="I15" s="20" t="n">
        <f aca="false">I14</f>
        <v>25000</v>
      </c>
      <c r="J15" s="20" t="n">
        <f aca="false">J14</f>
        <v>25000</v>
      </c>
      <c r="K15" s="20" t="n">
        <f aca="false">K14</f>
        <v>25000</v>
      </c>
      <c r="L15" s="20" t="n">
        <f aca="false">L14</f>
        <v>25000</v>
      </c>
      <c r="M15" s="20" t="n">
        <f aca="false">M14</f>
        <v>25000</v>
      </c>
      <c r="N15" s="20" t="n">
        <f aca="false">N14</f>
        <v>25000</v>
      </c>
      <c r="O15" s="20" t="n">
        <f aca="false">SUM(C15:N15)</f>
        <v>300000</v>
      </c>
    </row>
    <row r="17" customFormat="false" ht="15" hidden="false" customHeight="false" outlineLevel="0" collapsed="false">
      <c r="B17" s="15" t="s">
        <v>290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B18" s="10" t="s">
        <v>319</v>
      </c>
      <c r="C18" s="7" t="n">
        <v>4375</v>
      </c>
      <c r="D18" s="7" t="n">
        <v>4375</v>
      </c>
      <c r="E18" s="7" t="n">
        <v>4375</v>
      </c>
      <c r="F18" s="7" t="n">
        <v>4375</v>
      </c>
      <c r="G18" s="7" t="n">
        <v>4375</v>
      </c>
      <c r="H18" s="7" t="n">
        <v>4375</v>
      </c>
      <c r="I18" s="7" t="n">
        <v>4375</v>
      </c>
      <c r="J18" s="7" t="n">
        <v>4375</v>
      </c>
      <c r="K18" s="7" t="n">
        <v>4375</v>
      </c>
      <c r="L18" s="7" t="n">
        <v>4375</v>
      </c>
      <c r="M18" s="7" t="n">
        <v>4375</v>
      </c>
      <c r="N18" s="7" t="n">
        <v>4375</v>
      </c>
      <c r="O18" s="7" t="n">
        <f aca="false">SUM(C18:N18)</f>
        <v>52500</v>
      </c>
    </row>
    <row r="19" customFormat="false" ht="15" hidden="false" customHeight="false" outlineLevel="0" collapsed="false">
      <c r="B19" s="10" t="s">
        <v>320</v>
      </c>
      <c r="C19" s="7" t="n">
        <v>2250</v>
      </c>
      <c r="D19" s="7" t="n">
        <v>2250</v>
      </c>
      <c r="E19" s="7" t="n">
        <v>2250</v>
      </c>
      <c r="F19" s="7" t="n">
        <v>2250</v>
      </c>
      <c r="G19" s="7" t="n">
        <v>2250</v>
      </c>
      <c r="H19" s="7" t="n">
        <v>2250</v>
      </c>
      <c r="I19" s="7" t="n">
        <v>2250</v>
      </c>
      <c r="J19" s="7" t="n">
        <v>2250</v>
      </c>
      <c r="K19" s="7" t="n">
        <v>2250</v>
      </c>
      <c r="L19" s="7" t="n">
        <v>2250</v>
      </c>
      <c r="M19" s="7" t="n">
        <v>2250</v>
      </c>
      <c r="N19" s="7" t="n">
        <v>2250</v>
      </c>
      <c r="O19" s="7" t="n">
        <f aca="false">SUM(C19:N19)</f>
        <v>27000</v>
      </c>
    </row>
    <row r="20" customFormat="false" ht="15" hidden="false" customHeight="false" outlineLevel="0" collapsed="false">
      <c r="B20" s="10" t="s">
        <v>321</v>
      </c>
      <c r="C20" s="7" t="n">
        <v>1000</v>
      </c>
      <c r="D20" s="7" t="n">
        <v>1000</v>
      </c>
      <c r="E20" s="7" t="n">
        <v>1000</v>
      </c>
      <c r="F20" s="7" t="n">
        <v>1000</v>
      </c>
      <c r="G20" s="7" t="n">
        <v>1000</v>
      </c>
      <c r="H20" s="7" t="n">
        <v>1000</v>
      </c>
      <c r="I20" s="7" t="n">
        <v>1000</v>
      </c>
      <c r="J20" s="7" t="n">
        <v>1000</v>
      </c>
      <c r="K20" s="7" t="n">
        <v>1000</v>
      </c>
      <c r="L20" s="7" t="n">
        <v>1000</v>
      </c>
      <c r="M20" s="7" t="n">
        <v>1000</v>
      </c>
      <c r="N20" s="7" t="n">
        <v>1000</v>
      </c>
      <c r="O20" s="7" t="n">
        <f aca="false">SUM(C20:N20)</f>
        <v>12000</v>
      </c>
    </row>
    <row r="21" customFormat="false" ht="15" hidden="false" customHeight="false" outlineLevel="0" collapsed="false">
      <c r="B21" s="10" t="s">
        <v>322</v>
      </c>
      <c r="C21" s="7" t="n">
        <v>875</v>
      </c>
      <c r="D21" s="7" t="n">
        <v>875</v>
      </c>
      <c r="E21" s="7" t="n">
        <v>875</v>
      </c>
      <c r="F21" s="7" t="n">
        <v>875</v>
      </c>
      <c r="G21" s="7" t="n">
        <v>875</v>
      </c>
      <c r="H21" s="7" t="n">
        <v>875</v>
      </c>
      <c r="I21" s="7" t="n">
        <v>875</v>
      </c>
      <c r="J21" s="7" t="n">
        <v>875</v>
      </c>
      <c r="K21" s="7" t="n">
        <v>875</v>
      </c>
      <c r="L21" s="7" t="n">
        <v>875</v>
      </c>
      <c r="M21" s="7" t="n">
        <v>875</v>
      </c>
      <c r="N21" s="7" t="n">
        <v>875</v>
      </c>
      <c r="O21" s="7" t="n">
        <f aca="false">SUM(C21:N21)</f>
        <v>10500</v>
      </c>
    </row>
    <row r="22" customFormat="false" ht="15" hidden="false" customHeight="false" outlineLevel="0" collapsed="false">
      <c r="B22" s="10" t="s">
        <v>323</v>
      </c>
      <c r="C22" s="7" t="n">
        <v>1500</v>
      </c>
      <c r="D22" s="7" t="n">
        <v>1500</v>
      </c>
      <c r="E22" s="7" t="n">
        <v>1500</v>
      </c>
      <c r="F22" s="7" t="n">
        <v>1500</v>
      </c>
      <c r="G22" s="7" t="n">
        <v>1500</v>
      </c>
      <c r="H22" s="7" t="n">
        <v>1500</v>
      </c>
      <c r="I22" s="7" t="n">
        <v>1500</v>
      </c>
      <c r="J22" s="7" t="n">
        <v>1500</v>
      </c>
      <c r="K22" s="7" t="n">
        <v>1500</v>
      </c>
      <c r="L22" s="7" t="n">
        <v>1500</v>
      </c>
      <c r="M22" s="7" t="n">
        <v>1500</v>
      </c>
      <c r="N22" s="7" t="n">
        <v>1500</v>
      </c>
      <c r="O22" s="7" t="n">
        <f aca="false">SUM(C22:N22)</f>
        <v>18000</v>
      </c>
    </row>
    <row r="23" customFormat="false" ht="15" hidden="false" customHeight="false" outlineLevel="0" collapsed="false">
      <c r="B23" s="10" t="s">
        <v>324</v>
      </c>
      <c r="C23" s="7" t="n">
        <v>2500</v>
      </c>
      <c r="D23" s="7" t="n">
        <v>2500</v>
      </c>
      <c r="E23" s="7" t="n">
        <v>2500</v>
      </c>
      <c r="F23" s="7" t="n">
        <v>2500</v>
      </c>
      <c r="G23" s="7" t="n">
        <v>2500</v>
      </c>
      <c r="H23" s="7" t="n">
        <v>2500</v>
      </c>
      <c r="I23" s="7" t="n">
        <v>2500</v>
      </c>
      <c r="J23" s="7" t="n">
        <v>2500</v>
      </c>
      <c r="K23" s="7" t="n">
        <v>2500</v>
      </c>
      <c r="L23" s="7" t="n">
        <v>2500</v>
      </c>
      <c r="M23" s="7" t="n">
        <v>2500</v>
      </c>
      <c r="N23" s="7" t="n">
        <v>2500</v>
      </c>
      <c r="O23" s="7" t="n">
        <f aca="false">SUM(C23:N23)</f>
        <v>30000</v>
      </c>
    </row>
    <row r="24" customFormat="false" ht="15" hidden="false" customHeight="false" outlineLevel="0" collapsed="false">
      <c r="B24" s="48" t="s">
        <v>303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 t="n">
        <f aca="false">SUM(C18:N23)</f>
        <v>150000</v>
      </c>
    </row>
    <row r="26" customFormat="false" ht="15" hidden="false" customHeight="false" outlineLevel="0" collapsed="false">
      <c r="B26" s="48" t="s">
        <v>304</v>
      </c>
      <c r="C26" s="20" t="n">
        <f aca="false">C15-C24</f>
        <v>25000</v>
      </c>
      <c r="D26" s="20" t="n">
        <f aca="false">D15-D24</f>
        <v>25000</v>
      </c>
      <c r="E26" s="20" t="n">
        <f aca="false">E15-E24</f>
        <v>25000</v>
      </c>
      <c r="F26" s="20" t="n">
        <f aca="false">F15-F24</f>
        <v>25000</v>
      </c>
      <c r="G26" s="20" t="n">
        <f aca="false">G15-G24</f>
        <v>25000</v>
      </c>
      <c r="H26" s="20" t="n">
        <f aca="false">H15-H24</f>
        <v>25000</v>
      </c>
      <c r="I26" s="20" t="n">
        <f aca="false">I15-I24</f>
        <v>25000</v>
      </c>
      <c r="J26" s="20" t="n">
        <f aca="false">J15-J24</f>
        <v>25000</v>
      </c>
      <c r="K26" s="20" t="n">
        <f aca="false">K15-K24</f>
        <v>25000</v>
      </c>
      <c r="L26" s="20" t="n">
        <f aca="false">L15-L24</f>
        <v>25000</v>
      </c>
      <c r="M26" s="20" t="n">
        <f aca="false">M15-M24</f>
        <v>25000</v>
      </c>
      <c r="N26" s="20" t="n">
        <f aca="false">N15-N24</f>
        <v>25000</v>
      </c>
      <c r="O26" s="20" t="n">
        <f aca="false">SUM(C26:N26)</f>
        <v>300000</v>
      </c>
    </row>
    <row r="27" customFormat="false" ht="15" hidden="false" customHeight="false" outlineLevel="0" collapsed="false">
      <c r="B27" s="10" t="s">
        <v>305</v>
      </c>
      <c r="C27" s="7" t="n">
        <f aca="false">C26</f>
        <v>25000</v>
      </c>
      <c r="D27" s="7" t="n">
        <f aca="false">C27+D26</f>
        <v>50000</v>
      </c>
      <c r="E27" s="7" t="n">
        <f aca="false">D27+E26</f>
        <v>75000</v>
      </c>
      <c r="F27" s="7" t="n">
        <f aca="false">E27+F26</f>
        <v>100000</v>
      </c>
      <c r="G27" s="7" t="n">
        <f aca="false">F27+G26</f>
        <v>125000</v>
      </c>
      <c r="H27" s="7" t="n">
        <f aca="false">G27+H26</f>
        <v>150000</v>
      </c>
      <c r="I27" s="7" t="n">
        <f aca="false">H27+I26</f>
        <v>175000</v>
      </c>
      <c r="J27" s="7" t="n">
        <f aca="false">I27+J26</f>
        <v>200000</v>
      </c>
      <c r="K27" s="7" t="n">
        <f aca="false">J27+K26</f>
        <v>225000</v>
      </c>
      <c r="L27" s="7" t="n">
        <f aca="false">K27+L26</f>
        <v>250000</v>
      </c>
      <c r="M27" s="7" t="n">
        <f aca="false">L27+M26</f>
        <v>275000</v>
      </c>
      <c r="N27" s="7" t="n">
        <f aca="false">M27+N26</f>
        <v>300000</v>
      </c>
      <c r="O27" s="7" t="n">
        <f aca="false">N27</f>
        <v>300000</v>
      </c>
    </row>
    <row r="28" customFormat="false" ht="15" hidden="false" customHeight="false" outlineLevel="0" collapsed="false">
      <c r="B28" s="10" t="s">
        <v>306</v>
      </c>
      <c r="C28" s="7" t="n">
        <f aca="false">C26*$C$6</f>
        <v>4665</v>
      </c>
      <c r="D28" s="7" t="n">
        <f aca="false">D26*$C$6</f>
        <v>4665</v>
      </c>
      <c r="E28" s="7" t="n">
        <f aca="false">E26*$C$6</f>
        <v>4665</v>
      </c>
      <c r="F28" s="7" t="n">
        <f aca="false">F26*$C$6</f>
        <v>4665</v>
      </c>
      <c r="G28" s="7" t="n">
        <f aca="false">G26*$C$6</f>
        <v>4665</v>
      </c>
      <c r="H28" s="7" t="n">
        <f aca="false">H26*$C$6</f>
        <v>4665</v>
      </c>
      <c r="I28" s="7" t="n">
        <f aca="false">I26*$C$6</f>
        <v>4665</v>
      </c>
      <c r="J28" s="7" t="n">
        <f aca="false">J26*$C$6</f>
        <v>4665</v>
      </c>
      <c r="K28" s="7" t="n">
        <f aca="false">K26*$C$6</f>
        <v>4665</v>
      </c>
      <c r="L28" s="7" t="n">
        <f aca="false">L26*$C$6</f>
        <v>4665</v>
      </c>
      <c r="M28" s="7" t="n">
        <f aca="false">M26*$C$6</f>
        <v>4665</v>
      </c>
      <c r="N28" s="7" t="n">
        <f aca="false">N26*$C$6</f>
        <v>4665</v>
      </c>
    </row>
    <row r="29" customFormat="false" ht="15" hidden="false" customHeight="false" outlineLevel="0" collapsed="false">
      <c r="B29" s="10" t="s">
        <v>307</v>
      </c>
      <c r="C29" s="7" t="n">
        <f aca="false">C26-C28</f>
        <v>20335</v>
      </c>
      <c r="D29" s="7" t="n">
        <f aca="false">D26-D28</f>
        <v>20335</v>
      </c>
      <c r="E29" s="7" t="n">
        <f aca="false">E26-E28</f>
        <v>20335</v>
      </c>
      <c r="F29" s="7" t="n">
        <f aca="false">F26-F28</f>
        <v>20335</v>
      </c>
      <c r="G29" s="7" t="n">
        <f aca="false">G26-G28</f>
        <v>20335</v>
      </c>
      <c r="H29" s="7" t="n">
        <f aca="false">H26-H28</f>
        <v>20335</v>
      </c>
      <c r="I29" s="7" t="n">
        <f aca="false">I26-I28</f>
        <v>20335</v>
      </c>
      <c r="J29" s="7" t="n">
        <f aca="false">J26-J28</f>
        <v>20335</v>
      </c>
      <c r="K29" s="7" t="n">
        <f aca="false">K26-K28</f>
        <v>20335</v>
      </c>
      <c r="L29" s="7" t="n">
        <f aca="false">L26-L28</f>
        <v>20335</v>
      </c>
      <c r="M29" s="7" t="n">
        <f aca="false">M26-M28</f>
        <v>20335</v>
      </c>
      <c r="N29" s="7" t="n">
        <f aca="false">N26-N28</f>
        <v>20335</v>
      </c>
    </row>
  </sheetData>
  <mergeCells count="1">
    <mergeCell ref="C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5"/>
  <sheetViews>
    <sheetView showFormulas="false" showGridLines="true" showRowColHeaders="true" showZeros="true" rightToLeft="false" tabSelected="false" showOutlineSymbols="true" defaultGridColor="true" view="normal" topLeftCell="A25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5.98"/>
    <col collapsed="false" customWidth="true" hidden="false" outlineLevel="0" max="3" min="3" style="0" width="42.9"/>
    <col collapsed="false" customWidth="true" hidden="false" outlineLevel="0" max="7" min="4" style="0" width="13"/>
    <col collapsed="false" customWidth="true" hidden="false" outlineLevel="0" max="8" min="8" style="0" width="12.1"/>
    <col collapsed="false" customWidth="true" hidden="false" outlineLevel="0" max="9" min="9" style="0" width="11.6"/>
    <col collapsed="false" customWidth="true" hidden="false" outlineLevel="0" max="10" min="10" style="0" width="25.62"/>
  </cols>
  <sheetData>
    <row r="2" customFormat="false" ht="29.1" hidden="false" customHeight="true" outlineLevel="0" collapsed="false">
      <c r="B2" s="1" t="s">
        <v>330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2" t="s">
        <v>257</v>
      </c>
      <c r="C4" s="2" t="s">
        <v>258</v>
      </c>
    </row>
    <row r="5" customFormat="false" ht="15" hidden="false" customHeight="false" outlineLevel="0" collapsed="false">
      <c r="B5" s="49" t="s">
        <v>259</v>
      </c>
      <c r="C5" s="50" t="n">
        <v>50</v>
      </c>
    </row>
    <row r="6" customFormat="false" ht="15" hidden="false" customHeight="false" outlineLevel="0" collapsed="false">
      <c r="B6" s="51" t="s">
        <v>266</v>
      </c>
      <c r="C6" s="52" t="n">
        <v>0.1866</v>
      </c>
    </row>
    <row r="7" customFormat="false" ht="15" hidden="false" customHeight="false" outlineLevel="0" collapsed="false">
      <c r="B7" s="49" t="s">
        <v>267</v>
      </c>
      <c r="C7" s="53" t="n">
        <f aca="false">1-C6</f>
        <v>0.8134</v>
      </c>
    </row>
    <row r="8" customFormat="false" ht="15" hidden="false" customHeight="false" outlineLevel="0" collapsed="false">
      <c r="B8" s="51" t="s">
        <v>331</v>
      </c>
      <c r="C8" s="52" t="n">
        <v>0.25</v>
      </c>
    </row>
    <row r="9" customFormat="false" ht="15" hidden="false" customHeight="false" outlineLevel="0" collapsed="false">
      <c r="B9" s="49" t="s">
        <v>332</v>
      </c>
      <c r="C9" s="50" t="n">
        <v>-111988</v>
      </c>
    </row>
    <row r="10" customFormat="false" ht="15" hidden="false" customHeight="false" outlineLevel="0" collapsed="false">
      <c r="B10" s="51" t="s">
        <v>333</v>
      </c>
      <c r="C10" s="54" t="n">
        <v>600000</v>
      </c>
    </row>
    <row r="11" customFormat="false" ht="15" hidden="false" customHeight="false" outlineLevel="0" collapsed="false">
      <c r="B11" s="49" t="s">
        <v>334</v>
      </c>
      <c r="C11" s="49" t="s">
        <v>335</v>
      </c>
    </row>
    <row r="16" customFormat="false" ht="15" hidden="false" customHeight="false" outlineLevel="0" collapsed="false">
      <c r="B16" s="2" t="s">
        <v>169</v>
      </c>
      <c r="C16" s="2"/>
      <c r="D16" s="55" t="s">
        <v>336</v>
      </c>
      <c r="E16" s="55" t="s">
        <v>337</v>
      </c>
      <c r="F16" s="55" t="s">
        <v>338</v>
      </c>
      <c r="G16" s="55" t="s">
        <v>339</v>
      </c>
      <c r="H16" s="55" t="s">
        <v>340</v>
      </c>
      <c r="I16" s="56" t="s">
        <v>282</v>
      </c>
    </row>
    <row r="17" customFormat="false" ht="15" hidden="false" customHeight="false" outlineLevel="0" collapsed="false">
      <c r="B17" s="10" t="s">
        <v>341</v>
      </c>
      <c r="D17" s="7" t="n">
        <f aca="false">'Año 1'!N19</f>
        <v>159</v>
      </c>
      <c r="E17" s="7" t="n">
        <f aca="false">'Año 2'!N11</f>
        <v>187</v>
      </c>
      <c r="F17" s="7" t="n">
        <f aca="false">'Año 3'!N11</f>
        <v>374</v>
      </c>
      <c r="G17" s="7" t="n">
        <f aca="false">'Año 4'!N11</f>
        <v>442</v>
      </c>
      <c r="H17" s="7" t="n">
        <f aca="false">'Año 5'!N11</f>
        <v>510</v>
      </c>
    </row>
    <row r="18" customFormat="false" ht="15" hidden="false" customHeight="false" outlineLevel="0" collapsed="false">
      <c r="B18" s="10" t="s">
        <v>342</v>
      </c>
      <c r="D18" s="7" t="n">
        <f aca="false">'Año 1'!O25</f>
        <v>59968</v>
      </c>
      <c r="E18" s="7" t="n">
        <f aca="false">'Año 2'!O15</f>
        <v>102000</v>
      </c>
      <c r="F18" s="7" t="n">
        <f aca="false">'Año 3'!O15</f>
        <v>192000.03</v>
      </c>
      <c r="G18" s="7" t="n">
        <f aca="false">'Año 4'!O15</f>
        <v>240000</v>
      </c>
      <c r="H18" s="7" t="n">
        <f aca="false">'Año 5'!O15</f>
        <v>300000</v>
      </c>
      <c r="I18" s="7" t="n">
        <f aca="false">SUM(D18:H18)</f>
        <v>893968.03</v>
      </c>
    </row>
    <row r="19" customFormat="false" ht="15" hidden="false" customHeight="false" outlineLevel="0" collapsed="false">
      <c r="B19" s="10" t="s">
        <v>343</v>
      </c>
      <c r="D19" s="7" t="n">
        <f aca="false">'Año 1'!O40</f>
        <v>97290</v>
      </c>
      <c r="E19" s="7" t="n">
        <f aca="false">'Año 2'!O24</f>
        <v>96000</v>
      </c>
      <c r="F19" s="7" t="n">
        <f aca="false">'Año 3'!O24</f>
        <v>108000</v>
      </c>
      <c r="G19" s="7" t="n">
        <f aca="false">'Año 4'!O24</f>
        <v>130000.08</v>
      </c>
      <c r="H19" s="7" t="n">
        <f aca="false">'Año 5'!O24</f>
        <v>150000</v>
      </c>
      <c r="I19" s="7" t="n">
        <f aca="false">SUM(D19:H19)</f>
        <v>581290.08</v>
      </c>
    </row>
    <row r="20" customFormat="false" ht="15" hidden="false" customHeight="false" outlineLevel="0" collapsed="false">
      <c r="B20" s="48" t="s">
        <v>344</v>
      </c>
      <c r="C20" s="20"/>
      <c r="D20" s="20" t="n">
        <f aca="false">D18-D19</f>
        <v>-37322</v>
      </c>
      <c r="E20" s="20" t="n">
        <f aca="false">E18-E19</f>
        <v>6000</v>
      </c>
      <c r="F20" s="20" t="n">
        <f aca="false">F18-F19</f>
        <v>84000.03</v>
      </c>
      <c r="G20" s="20" t="n">
        <f aca="false">G18-G19</f>
        <v>109999.92</v>
      </c>
      <c r="H20" s="20" t="n">
        <f aca="false">H18-H19</f>
        <v>150000</v>
      </c>
      <c r="I20" s="20" t="n">
        <f aca="false">SUM(D20:H20)</f>
        <v>312677.95</v>
      </c>
    </row>
    <row r="21" customFormat="false" ht="15" hidden="false" customHeight="false" outlineLevel="0" collapsed="false">
      <c r="B21" s="10" t="s">
        <v>305</v>
      </c>
      <c r="D21" s="7" t="n">
        <f aca="false">D20</f>
        <v>-37322</v>
      </c>
      <c r="E21" s="7" t="n">
        <f aca="false">D21+E20</f>
        <v>-31322</v>
      </c>
      <c r="F21" s="7" t="n">
        <f aca="false">E21+F20</f>
        <v>52678.03</v>
      </c>
      <c r="G21" s="7" t="n">
        <f aca="false">F21+G20</f>
        <v>162677.95</v>
      </c>
      <c r="H21" s="7" t="n">
        <f aca="false">G21+H20</f>
        <v>312677.95</v>
      </c>
    </row>
    <row r="22" customFormat="false" ht="15" hidden="false" customHeight="false" outlineLevel="0" collapsed="false">
      <c r="B22" s="10" t="s">
        <v>345</v>
      </c>
      <c r="D22" s="7" t="n">
        <f aca="false">D20*$C$6</f>
        <v>-6964.2852</v>
      </c>
      <c r="E22" s="7" t="n">
        <f aca="false">E20*$C$6</f>
        <v>1119.6</v>
      </c>
      <c r="F22" s="7" t="n">
        <f aca="false">F20*$C$6</f>
        <v>15674.405598</v>
      </c>
      <c r="G22" s="7" t="n">
        <f aca="false">G20*$C$6</f>
        <v>20525.985072</v>
      </c>
      <c r="H22" s="7" t="n">
        <f aca="false">H20*$C$6</f>
        <v>27990</v>
      </c>
      <c r="K22" s="10" t="s">
        <v>346</v>
      </c>
      <c r="L22" s="10" t="s">
        <v>347</v>
      </c>
    </row>
    <row r="23" customFormat="false" ht="15" hidden="false" customHeight="false" outlineLevel="0" collapsed="false">
      <c r="B23" s="10" t="s">
        <v>348</v>
      </c>
      <c r="D23" s="7" t="n">
        <f aca="false">D22</f>
        <v>-6964.2852</v>
      </c>
      <c r="E23" s="7" t="n">
        <f aca="false">D23+E22</f>
        <v>-5844.6852</v>
      </c>
      <c r="F23" s="7" t="n">
        <f aca="false">E23+F22</f>
        <v>9829.72039799999</v>
      </c>
      <c r="G23" s="7" t="n">
        <f aca="false">F23+G22</f>
        <v>30355.70547</v>
      </c>
      <c r="H23" s="7" t="n">
        <f aca="false">G23+H22</f>
        <v>58345.70547</v>
      </c>
      <c r="K23" s="7" t="n">
        <f aca="false">H23</f>
        <v>58345.70547</v>
      </c>
    </row>
    <row r="24" customFormat="false" ht="15" hidden="false" customHeight="false" outlineLevel="0" collapsed="false">
      <c r="B24" s="10" t="s">
        <v>349</v>
      </c>
      <c r="D24" s="7" t="n">
        <f aca="false">MAX(0,-$C$9-D23)</f>
        <v>118952.2852</v>
      </c>
      <c r="E24" s="7" t="n">
        <f aca="false">MAX(0,-$C$9-E23)</f>
        <v>117832.6852</v>
      </c>
      <c r="F24" s="7" t="n">
        <f aca="false">MAX(0,-$C$9-F23)</f>
        <v>102158.279602</v>
      </c>
      <c r="G24" s="7" t="n">
        <f aca="false">MAX(0,-$C$9-G23)</f>
        <v>81632.29453</v>
      </c>
      <c r="H24" s="7" t="n">
        <f aca="false">MAX(0,-$C$9-H23)</f>
        <v>53642.29453</v>
      </c>
      <c r="L24" s="7" t="n">
        <f aca="false">H24</f>
        <v>53642.29453</v>
      </c>
    </row>
    <row r="25" customFormat="false" ht="15" hidden="false" customHeight="false" outlineLevel="0" collapsed="false">
      <c r="B25" s="10" t="s">
        <v>350</v>
      </c>
      <c r="D25" s="7" t="n">
        <f aca="false">D20-D22</f>
        <v>-30357.7148</v>
      </c>
      <c r="E25" s="7" t="n">
        <f aca="false">E20-E22</f>
        <v>4880.4</v>
      </c>
      <c r="F25" s="7" t="n">
        <f aca="false">F20-F22</f>
        <v>68325.624402</v>
      </c>
      <c r="G25" s="7" t="n">
        <f aca="false">G20-G22</f>
        <v>89473.934928</v>
      </c>
      <c r="H25" s="7" t="n">
        <f aca="false">H20-H22</f>
        <v>122010</v>
      </c>
    </row>
    <row r="27" customFormat="false" ht="15" hidden="false" customHeight="false" outlineLevel="0" collapsed="false">
      <c r="J27" s="10" t="s">
        <v>351</v>
      </c>
    </row>
    <row r="28" customFormat="false" ht="15" hidden="false" customHeight="false" outlineLevel="0" collapsed="false">
      <c r="J28" s="7" t="n">
        <v>-111988</v>
      </c>
    </row>
    <row r="29" customFormat="false" ht="15" hidden="false" customHeight="false" outlineLevel="0" collapsed="false">
      <c r="J29" s="7" t="n">
        <f aca="false">D20</f>
        <v>-37322</v>
      </c>
    </row>
    <row r="30" customFormat="false" ht="15" hidden="false" customHeight="false" outlineLevel="0" collapsed="false">
      <c r="J30" s="7" t="n">
        <f aca="false">E20</f>
        <v>6000</v>
      </c>
    </row>
    <row r="31" customFormat="false" ht="15" hidden="false" customHeight="false" outlineLevel="0" collapsed="false">
      <c r="J31" s="7" t="n">
        <f aca="false">F20</f>
        <v>84000.03</v>
      </c>
    </row>
    <row r="32" customFormat="false" ht="15" hidden="false" customHeight="false" outlineLevel="0" collapsed="false">
      <c r="J32" s="7" t="n">
        <f aca="false">G20</f>
        <v>109999.92</v>
      </c>
    </row>
    <row r="33" customFormat="false" ht="15" hidden="false" customHeight="false" outlineLevel="0" collapsed="false">
      <c r="J33" s="7" t="n">
        <f aca="false">H20</f>
        <v>150000</v>
      </c>
    </row>
    <row r="34" customFormat="false" ht="15" hidden="false" customHeight="false" outlineLevel="0" collapsed="false">
      <c r="B34" s="10" t="s">
        <v>352</v>
      </c>
      <c r="C34" s="7" t="n">
        <f aca="false">NPV($C$8,D20:H20)</f>
        <v>111198.382592</v>
      </c>
    </row>
    <row r="35" customFormat="false" ht="15" hidden="false" customHeight="false" outlineLevel="0" collapsed="false">
      <c r="B35" s="10" t="s">
        <v>353</v>
      </c>
      <c r="C35" s="7" t="n">
        <f aca="false">C34+C9</f>
        <v>-789.61740800002</v>
      </c>
    </row>
    <row r="36" customFormat="false" ht="15" hidden="false" customHeight="false" outlineLevel="0" collapsed="false">
      <c r="B36" s="10" t="s">
        <v>354</v>
      </c>
      <c r="C36" s="7" t="n">
        <f aca="false">NPV($C$8,D20:F20)</f>
        <v>16990.41536</v>
      </c>
    </row>
    <row r="37" customFormat="false" ht="15" hidden="false" customHeight="false" outlineLevel="0" collapsed="false">
      <c r="B37" s="10" t="s">
        <v>355</v>
      </c>
      <c r="C37" s="7" t="n">
        <f aca="false">C36+C9</f>
        <v>-94997.58464</v>
      </c>
    </row>
    <row r="38" customFormat="false" ht="15" hidden="false" customHeight="false" outlineLevel="0" collapsed="false">
      <c r="B38" s="10" t="s">
        <v>356</v>
      </c>
      <c r="C38" s="9" t="n">
        <f aca="false">IRR(J28:J33)</f>
        <v>0.248154906799257</v>
      </c>
    </row>
    <row r="39" customFormat="false" ht="15" hidden="false" customHeight="false" outlineLevel="0" collapsed="false">
      <c r="B39" s="10" t="s">
        <v>357</v>
      </c>
      <c r="C39" s="9" t="n">
        <f aca="false">IRR(J28:J31)</f>
        <v>-0.172667451531743</v>
      </c>
    </row>
    <row r="40" customFormat="false" ht="15" hidden="false" customHeight="false" outlineLevel="0" collapsed="false">
      <c r="B40" s="10" t="s">
        <v>358</v>
      </c>
      <c r="C40" s="9" t="n">
        <f aca="false">$C$8</f>
        <v>0.25</v>
      </c>
    </row>
    <row r="41" customFormat="false" ht="15" hidden="false" customHeight="false" outlineLevel="0" collapsed="false">
      <c r="B41" s="10" t="s">
        <v>359</v>
      </c>
      <c r="C41" s="7" t="str">
        <f aca="false">IF(H23&gt;=ABS($C$9),5,IF(G23&gt;=ABS($C$9),4,IF(F23&gt;=ABS($C$9),3,IF(E23&gt;=ABS($C$9),2,IF(D23&gt;=ABS($C$9),1,"[LARGO PLAZO]")))))</f>
        <v>[LARGO PLAZO]</v>
      </c>
    </row>
    <row r="42" customFormat="false" ht="15" hidden="false" customHeight="false" outlineLevel="0" collapsed="false">
      <c r="B42" s="10" t="s">
        <v>360</v>
      </c>
      <c r="C42" s="9" t="n">
        <f aca="false">H23/ABS($C$9)</f>
        <v>0.520999620227167</v>
      </c>
    </row>
    <row r="43" customFormat="false" ht="15" hidden="false" customHeight="false" outlineLevel="0" collapsed="false">
      <c r="B43" s="10" t="s">
        <v>361</v>
      </c>
      <c r="C43" s="7" t="str">
        <f aca="false">IF(C41="[LARGO PLAZO]","CCF acum Y5 no cubre SAFE — ver % recuperado","")</f>
        <v>CCF acum Y5 no cubre SAFE — ver % recuperado</v>
      </c>
    </row>
    <row r="45" customFormat="false" ht="15" hidden="false" customHeight="false" outlineLevel="0" collapsed="false">
      <c r="B45" s="57" t="s">
        <v>362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21" activeCellId="0" sqref="H2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39.39"/>
    <col collapsed="false" customWidth="true" hidden="false" outlineLevel="0" max="3" min="3" style="0" width="20.79"/>
    <col collapsed="false" customWidth="true" hidden="false" outlineLevel="0" max="4" min="4" style="0" width="21.81"/>
    <col collapsed="false" customWidth="true" hidden="false" outlineLevel="0" max="5" min="5" style="0" width="25.18"/>
    <col collapsed="false" customWidth="true" hidden="false" outlineLevel="0" max="6" min="6" style="0" width="26.06"/>
    <col collapsed="false" customWidth="true" hidden="false" outlineLevel="0" max="7" min="7" style="0" width="23.58"/>
    <col collapsed="false" customWidth="true" hidden="false" outlineLevel="0" max="8" min="8" style="0" width="12.1"/>
    <col collapsed="false" customWidth="true" hidden="false" outlineLevel="0" max="9" min="9" style="0" width="11.6"/>
  </cols>
  <sheetData>
    <row r="2" customFormat="false" ht="56.7" hidden="false" customHeight="true" outlineLevel="0" collapsed="false">
      <c r="B2" s="1" t="s">
        <v>363</v>
      </c>
      <c r="C2" s="1"/>
      <c r="D2" s="1"/>
      <c r="E2" s="1"/>
      <c r="F2" s="1"/>
      <c r="G2" s="1"/>
    </row>
    <row r="4" customFormat="false" ht="15" hidden="false" customHeight="false" outlineLevel="0" collapsed="false">
      <c r="C4" s="55" t="s">
        <v>336</v>
      </c>
      <c r="D4" s="55" t="s">
        <v>337</v>
      </c>
      <c r="E4" s="55" t="s">
        <v>338</v>
      </c>
      <c r="F4" s="55" t="s">
        <v>339</v>
      </c>
      <c r="G4" s="55" t="s">
        <v>340</v>
      </c>
    </row>
    <row r="6" customFormat="false" ht="15" hidden="false" customHeight="false" outlineLevel="0" collapsed="false">
      <c r="B6" s="10" t="s">
        <v>364</v>
      </c>
      <c r="D6" s="9" t="n">
        <f aca="false">IF(C8=0,"",(D8-C8)/C8)</f>
        <v>0.700907150480256</v>
      </c>
      <c r="E6" s="9" t="n">
        <f aca="false">IF(D8=0,"",(E8-D8)/D8)</f>
        <v>0.882353235294117</v>
      </c>
      <c r="F6" s="9" t="n">
        <f aca="false">IF(E8=0,"",(F8-E8)/E8)</f>
        <v>0.249999804687531</v>
      </c>
      <c r="G6" s="9" t="n">
        <f aca="false">IF(F8=0,"",(G8-F8)/F8)</f>
        <v>0.25</v>
      </c>
    </row>
    <row r="7" customFormat="false" ht="15" hidden="false" customHeight="false" outlineLevel="0" collapsed="false">
      <c r="B7" s="10" t="s">
        <v>341</v>
      </c>
      <c r="C7" s="7" t="n">
        <f aca="false">'Año 1'!N19</f>
        <v>159</v>
      </c>
      <c r="D7" s="7" t="n">
        <f aca="false">'Año 2'!N11</f>
        <v>187</v>
      </c>
      <c r="E7" s="7" t="n">
        <f aca="false">'Año 3'!N11</f>
        <v>374</v>
      </c>
      <c r="F7" s="7" t="n">
        <f aca="false">'Año 4'!N11</f>
        <v>442</v>
      </c>
      <c r="G7" s="7" t="n">
        <f aca="false">'Año 5'!N11</f>
        <v>510</v>
      </c>
    </row>
    <row r="8" customFormat="false" ht="15" hidden="false" customHeight="false" outlineLevel="0" collapsed="false">
      <c r="B8" s="10" t="s">
        <v>365</v>
      </c>
      <c r="C8" s="7" t="n">
        <f aca="false">'Año 1'!O25</f>
        <v>59968</v>
      </c>
      <c r="D8" s="7" t="n">
        <f aca="false">'Año 2'!O15</f>
        <v>102000</v>
      </c>
      <c r="E8" s="7" t="n">
        <f aca="false">'Año 3'!O15</f>
        <v>192000.03</v>
      </c>
      <c r="F8" s="7" t="n">
        <f aca="false">'Año 4'!O15</f>
        <v>240000</v>
      </c>
      <c r="G8" s="7" t="n">
        <f aca="false">'Año 5'!O15</f>
        <v>300000</v>
      </c>
    </row>
    <row r="9" customFormat="false" ht="15" hidden="false" customHeight="false" outlineLevel="0" collapsed="false">
      <c r="B9" s="10" t="s">
        <v>366</v>
      </c>
      <c r="C9" s="7" t="n">
        <v>50</v>
      </c>
      <c r="D9" s="7" t="n">
        <v>52</v>
      </c>
      <c r="E9" s="7" t="n">
        <v>55</v>
      </c>
      <c r="F9" s="7" t="n">
        <v>58</v>
      </c>
      <c r="G9" s="7" t="n">
        <v>60</v>
      </c>
    </row>
    <row r="10" customFormat="false" ht="15" hidden="false" customHeight="false" outlineLevel="0" collapsed="false">
      <c r="B10" s="10" t="s">
        <v>367</v>
      </c>
      <c r="C10" s="7" t="n">
        <f aca="false">'Año 1'!O40/12</f>
        <v>8107.5</v>
      </c>
      <c r="D10" s="7" t="n">
        <f aca="false">'Año 2'!O24/12</f>
        <v>8000</v>
      </c>
      <c r="E10" s="7" t="n">
        <f aca="false">'Año 3'!O24/12</f>
        <v>9000</v>
      </c>
      <c r="F10" s="7" t="n">
        <f aca="false">'Año 4'!O24/12</f>
        <v>10833.34</v>
      </c>
      <c r="G10" s="7" t="n">
        <f aca="false">'Año 5'!O24/12</f>
        <v>12500</v>
      </c>
    </row>
    <row r="11" customFormat="false" ht="15" hidden="false" customHeight="false" outlineLevel="0" collapsed="false">
      <c r="B11" s="10" t="s">
        <v>314</v>
      </c>
      <c r="C11" s="10" t="s">
        <v>368</v>
      </c>
      <c r="D11" s="10" t="s">
        <v>369</v>
      </c>
      <c r="E11" s="10" t="s">
        <v>370</v>
      </c>
      <c r="F11" s="10" t="s">
        <v>371</v>
      </c>
      <c r="G11" s="10" t="s">
        <v>371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2026-06-23T15:03:17Z</dcterms:created>
  <dc:creator>openpyxl</dc:creator>
  <dc:description/>
  <dc:language>es-ES</dc:language>
  <cp:lastModifiedBy/>
  <dcterms:modified xsi:type="dcterms:W3CDTF">2026-06-23T11:13:33Z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