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525" tabRatio="500" activeTab="5"/>
  </bookViews>
  <sheets>
    <sheet name="Detallado de la inversión." sheetId="1" r:id="rId1"/>
    <sheet name="Hoja3" sheetId="2" r:id="rId2"/>
    <sheet name="Hoja1" sheetId="3" r:id="rId3"/>
    <sheet name="Hoja2" sheetId="4" r:id="rId4"/>
    <sheet name="ESTA SI VALE" sheetId="5" r:id="rId5"/>
    <sheet name="Año 1 escenario 1" sheetId="6" r:id="rId6"/>
    <sheet name="Año 1 escenario 2" sheetId="7" r:id="rId7"/>
    <sheet name="Año 1 GaboTic" sheetId="8" r:id="rId8"/>
    <sheet name="Año 2" sheetId="9" r:id="rId9"/>
    <sheet name="Año 3" sheetId="10" r:id="rId10"/>
    <sheet name="Año 4" sheetId="11" r:id="rId11"/>
    <sheet name="Año 5" sheetId="12" r:id="rId12"/>
    <sheet name="Flujo Total" sheetId="13" r:id="rId13"/>
    <sheet name="Tasa Crecimiento" sheetId="14" r:id="rId14"/>
  </sheets>
  <calcPr calcId="144525"/>
</workbook>
</file>

<file path=xl/comments1.xml><?xml version="1.0" encoding="utf-8"?>
<comments xmlns="http://schemas.openxmlformats.org/spreadsheetml/2006/main">
  <authors>
    <author>Gabriel Barrios</author>
  </authors>
  <commentList>
    <comment ref="C23" authorId="0">
      <text>
        <r>
          <rPr>
            <sz val="10"/>
            <rFont val="SimSun"/>
            <charset val="134"/>
          </rPr>
          <t>Gabriel Barrios:
Este cálculo no lo entendí. De dónde viene? Qué estás estimando?</t>
        </r>
      </text>
    </comment>
  </commentList>
</comments>
</file>

<file path=xl/comments2.xml><?xml version="1.0" encoding="utf-8"?>
<comments xmlns="http://schemas.openxmlformats.org/spreadsheetml/2006/main">
  <authors>
    <author>Gabriel Barrios</author>
  </authors>
  <commentList>
    <comment ref="C23" authorId="0">
      <text>
        <r>
          <rPr>
            <sz val="10"/>
            <rFont val="SimSun"/>
            <charset val="134"/>
          </rPr>
          <t>Gabriel Barrios:
Este cálculo no lo entendí. De dónde viene? Qué estás estimando?</t>
        </r>
      </text>
    </comment>
  </commentList>
</comments>
</file>

<file path=xl/comments3.xml><?xml version="1.0" encoding="utf-8"?>
<comments xmlns="http://schemas.openxmlformats.org/spreadsheetml/2006/main">
  <authors>
    <author>Gabriel Barrios</author>
  </authors>
  <commentList>
    <comment ref="C23" authorId="0">
      <text>
        <r>
          <rPr>
            <sz val="10"/>
            <rFont val="SimSun"/>
            <charset val="134"/>
          </rPr>
          <t>Gabriel Barrios:
Este cálculo no lo entendí. De dónde viene? Qué estás estimando?</t>
        </r>
      </text>
    </comment>
  </commentList>
</comments>
</file>

<file path=xl/sharedStrings.xml><?xml version="1.0" encoding="utf-8"?>
<sst xmlns="http://schemas.openxmlformats.org/spreadsheetml/2006/main" count="792" uniqueCount="409">
  <si>
    <t>Zonix Pharma — Detallado inversión Lean v3.9.3 (17-jul-2026). Amueblado 1×2250; alquiler 3×750 en HQ one-shots (750/mes en cronograma); sin ops recurrentes Fase 0. Validación G94=0.</t>
  </si>
  <si>
    <t xml:space="preserve">Zonix Pharma — Marketplace farmacéutico VE (piloto Valencia) </t>
  </si>
  <si>
    <t>Descripción</t>
  </si>
  <si>
    <t>Cantidad Meses</t>
  </si>
  <si>
    <t>Monto Unitario</t>
  </si>
  <si>
    <t>Total</t>
  </si>
  <si>
    <t>CONSTITUCIÓN DE LA EMPRESA (Zonix Pharma C.A.)</t>
  </si>
  <si>
    <t>Cant.</t>
  </si>
  <si>
    <t>USD/u</t>
  </si>
  <si>
    <t>RESUMEN INVERSIÓN LEAN (v3.9.3)</t>
  </si>
  <si>
    <t>Registro Mercantil + acta constitutiva</t>
  </si>
  <si>
    <t>One-shots (legal+intro+HQ CapEx incl. alquiler Fase 0)</t>
  </si>
  <si>
    <t>SENIAT — inscripción / trámites RIF</t>
  </si>
  <si>
    <t>Fase 0 operativa (MO+mkt+transporte)</t>
  </si>
  <si>
    <t>Licencia / permisos municipales HQ</t>
  </si>
  <si>
    <t>Notas / En ESTA</t>
  </si>
  <si>
    <t>Fase 0 total (T+0→Day-D)</t>
  </si>
  <si>
    <t>Permiso bomberos (local operativo)</t>
  </si>
  <si>
    <t>Caja al Day-D (inicio M1)</t>
  </si>
  <si>
    <t>Apertura cuenta bancaria empresa</t>
  </si>
  <si>
    <t>Burn 12 meses (M1–M12)</t>
  </si>
  <si>
    <t>Sello digital + factura digital SENIAT</t>
  </si>
  <si>
    <t>Reserva caja</t>
  </si>
  <si>
    <t>Registro marca SAPI (paralelo)</t>
  </si>
  <si>
    <t>TOTAL capital SAFE</t>
  </si>
  <si>
    <t>Subtotal constitución empresa</t>
  </si>
  <si>
    <t>SAFE cap ref. → equity % [PENDIENTE decisión cap]</t>
  </si>
  <si>
    <t>Costos legales de constitución C.A. + local HQ (referencia real VE). No incluye permisos de farmacia aliada ni operación de medicamentos. Pack documental conservador 1.150–1.450 en ESTRUCTURA_LEGAL §1.4 — validar con abogado [PENDIENTE].</t>
  </si>
  <si>
    <t>Ref. mensual post-Day-D</t>
  </si>
  <si>
    <t>MO operativa (subtotal)</t>
  </si>
  <si>
    <t>MATERIA PRIMA: No aplica — ZonixPharma es servicio tecnológico (marketplace). Equivalente digital: SMS OTP, Pusher, Maps, hosting → fila «Hosting + SaaS + Firebase OTP» en ESTA SI VALE (~154 USD/mes) + contingencia en burn.</t>
  </si>
  <si>
    <t>Marketing mensual (subtotal)</t>
  </si>
  <si>
    <t>v3.9.3: amueblado one-shot; alquiler en HQ one-shots (750/mes en timing); sin ops recurrentes Fase 0. Identidad categorías=timing.</t>
  </si>
  <si>
    <t>INTRODUCCIÓN AL MERCADO / DEMO — Lean (ancla Fase 0)</t>
  </si>
  <si>
    <t xml:space="preserve">Cantidad </t>
  </si>
  <si>
    <t>Website landing + dominio + hosting</t>
  </si>
  <si>
    <t>Brochures y material impreso B2B</t>
  </si>
  <si>
    <t>definir</t>
  </si>
  <si>
    <t>Tablets demo farmacia</t>
  </si>
  <si>
    <t>Visitas comerciales pre-Day-D</t>
  </si>
  <si>
    <t>4x sales / Fase previa — ver MO Fase 0 (no duplicar)</t>
  </si>
  <si>
    <t>Reservas operativas primer mes</t>
  </si>
  <si>
    <t>Tarjetas presentación</t>
  </si>
  <si>
    <t>Video pitch B2B farmacia (one-shot)</t>
  </si>
  <si>
    <t>Subtotal intro mercado Lean</t>
  </si>
  <si>
    <t>MARKETING PRE-LANZAMIENTO — Lean (3 meses, ancla)</t>
  </si>
  <si>
    <t>Meta Ads pre-Day-D</t>
  </si>
  <si>
    <t>Material POP / señalética</t>
  </si>
  <si>
    <t>Demos B2B adicionales</t>
  </si>
  <si>
    <t>Subtotal marketing pre-lanzamiento Lean</t>
  </si>
  <si>
    <t>MANO DE OBRA FASE 0 (3 meses — incluida en Fase 0, no duplicar en one-shots)</t>
  </si>
  <si>
    <t>4× Sales bootstrap (350 c/u) — sueldos bajo AVGH; validar contratos [PENDIENTE]. Tarifas mensuales × 3 meses pre-Day-D. Comisiones Sales: $40/firma (estimado en ESTA, no duplicado aquí).</t>
  </si>
  <si>
    <t>CEO (1000/mes)</t>
  </si>
  <si>
    <t>Founder CEO/CTO (1000/mes)</t>
  </si>
  <si>
    <t>Co-CEO Head Sales&amp;Ops (1000/mes)</t>
  </si>
  <si>
    <t>Dev junior (Flutter/Laravel) (1000/mes)</t>
  </si>
  <si>
    <t>4× Sales B2B (350/mes c/u base)</t>
  </si>
  <si>
    <t>CS + Community Manager (500/mes)</t>
  </si>
  <si>
    <t>Herramientas IA (425/mes)</t>
  </si>
  <si>
    <t>Contador + Abogado (800/mes)</t>
  </si>
  <si>
    <t>Subtotal mano de obra Fase 0 (3 meses)</t>
  </si>
  <si>
    <t>TRANSPORTE, MOVILIDAD B2B, BRANDING (referencia desglose)</t>
  </si>
  <si>
    <t>Visitas comerciales Valencia (combustible / terceros)</t>
  </si>
  <si>
    <t>Tablets — ver Intro (no duplicar)</t>
  </si>
  <si>
    <t>Logística material demo (POP)</t>
  </si>
  <si>
    <t>Camisa, gorras, otros</t>
  </si>
  <si>
    <t>Gira medios / eventos farmacia (opcional Lean)</t>
  </si>
  <si>
    <t>Subtotal transporte referencia Fase 0</t>
  </si>
  <si>
    <t>HQ Y CAPEX — Lean (ancla one-shots)</t>
  </si>
  <si>
    <t>Cantidad</t>
  </si>
  <si>
    <t>1 mes OPEX</t>
  </si>
  <si>
    <t>Amueblado HQ (escritorios, sillas y otros — one-shot)</t>
  </si>
  <si>
    <t>Adecuación HQ (pintura, señalética)</t>
  </si>
  <si>
    <t>PC recepción / ventas</t>
  </si>
  <si>
    <t>PC administración</t>
  </si>
  <si>
    <t>PC desarrollo</t>
  </si>
  <si>
    <t>PC puesto flexible</t>
  </si>
  <si>
    <t>Cafetera</t>
  </si>
  <si>
    <t>Filtro de Agua</t>
  </si>
  <si>
    <t>Microondas</t>
  </si>
  <si>
    <t>Vasos y Tazas</t>
  </si>
  <si>
    <t>Impresora</t>
  </si>
  <si>
    <t>Resmas de papel</t>
  </si>
  <si>
    <t>Articulos de oficina (boligrafos, lapices, cinta, otros)</t>
  </si>
  <si>
    <t>Alquiler HQ Fase 0 (3 meses × 750 — 750/mes en cronograma 0a/0b/0c)</t>
  </si>
  <si>
    <t>Subtotal HQ y CapEx (amueblado + alquiler Fase 0 + CapEx)</t>
  </si>
  <si>
    <t>FASE 0 — OUTFLOW OPERATIVO (T+0→Day-D, bottom-up)</t>
  </si>
  <si>
    <t>one shots</t>
  </si>
  <si>
    <t>os-renta</t>
  </si>
  <si>
    <t>fase 0a</t>
  </si>
  <si>
    <t>Sub-fase 0a (T+0 a T+30) — one-shots sin renta + transporte + mes 1 (MO+renta+mkt)</t>
  </si>
  <si>
    <t>Sub-fase 0b (T+30 a T+60) — MO 7.125 + renta 750 + mkt pre 750</t>
  </si>
  <si>
    <t>Sub-fase 0c (T+60 a T+90) — MO 7.125 + renta 750 + mkt pre 750</t>
  </si>
  <si>
    <t>Subtotal Fase 0</t>
  </si>
  <si>
    <t>Caja al Day-D (TOTAL SAFE − Fase 0)</t>
  </si>
  <si>
    <t>TOTAL one-shots Lean (legal+intro+HQ CapEx incl. amueblado+alquiler Fase 0)</t>
  </si>
  <si>
    <t>Validación: Fase0 − (one-shots+MO+mkt+transporte) → 0</t>
  </si>
  <si>
    <t>≈ delta vs subtotal MO + HQ/servicios en Fase 0</t>
  </si>
  <si>
    <t>MANO DE OBRA OPERATIVA (post-Day-D — USD/mes, incluida en burn M1–M12)</t>
  </si>
  <si>
    <t>Espejo nómina Fase 0 mensualizada. Incluye CEO. No sumar a one-shots ni Fase 0.</t>
  </si>
  <si>
    <t>CEO</t>
  </si>
  <si>
    <t>mensual</t>
  </si>
  <si>
    <t>→ burn Año 1</t>
  </si>
  <si>
    <t>Founder CEO/CTO</t>
  </si>
  <si>
    <t>Co-CEO Head Sales&amp;Ops</t>
  </si>
  <si>
    <t>Dev junior (Flutter/Laravel)</t>
  </si>
  <si>
    <t>4× Sales B2B (base)</t>
  </si>
  <si>
    <t>CS + Community Manager</t>
  </si>
  <si>
    <t>Herramientas IA</t>
  </si>
  <si>
    <t>Contador + Abogado</t>
  </si>
  <si>
    <t>Subtotal MO operativa (fija/mes)</t>
  </si>
  <si>
    <t>MARKETING Y OPEX MENSUAL RECURRENTE (ref. ESTA → Año 1)</t>
  </si>
  <si>
    <t>Incluido en burn M1–M12. No sumar a one-shots ni duplicar MO Fase 0.</t>
  </si>
  <si>
    <t>Alquiler HQ (mensual post-Day-D)</t>
  </si>
  <si>
    <t>Alquiler HQ post-Day-D — incluido en burn M1–M12</t>
  </si>
  <si>
    <t>Servicios oficina</t>
  </si>
  <si>
    <t>→ ESTA: §2.3.1</t>
  </si>
  <si>
    <t>Impuestos varios</t>
  </si>
  <si>
    <t>SaaS ~120 + SMS ~34 (§2.3.1)</t>
  </si>
  <si>
    <t xml:space="preserve">  └ Hosting cloud / SaaS (desglose)</t>
  </si>
  <si>
    <t>~120 USD/mes — footnote, no sumar</t>
  </si>
  <si>
    <t xml:space="preserve">  └ Firebase SMS / OTP (pico conservador)</t>
  </si>
  <si>
    <t>~34 USD/mes — footnote, no sumar</t>
  </si>
  <si>
    <t>Meta Ads (prom.)</t>
  </si>
  <si>
    <t>→ ESTA: tramos</t>
  </si>
  <si>
    <t>Valla pequeña (desde M3)</t>
  </si>
  <si>
    <t>→ ESTA / Año 1</t>
  </si>
  <si>
    <t>Otros OPEX</t>
  </si>
  <si>
    <t>→ ESTA: PRESUPUESTO §6</t>
  </si>
  <si>
    <t>Subtotal marketing + opex variable/mes</t>
  </si>
  <si>
    <t>Sales comisiones (estim. prom/mes — $40/firma)</t>
  </si>
  <si>
    <t>Variable — no incluido en burn fijo Lean</t>
  </si>
  <si>
    <t>USE OF FUNDS 12M (post Day-D) — bottom-up</t>
  </si>
  <si>
    <t>Burn M1-M12 (MO 7.125 + renta 750 + opex; valla M3–M12)</t>
  </si>
  <si>
    <t>Reserva caja Lean</t>
  </si>
  <si>
    <t>TOTAL capital SAFE Lean (= Fase 0 + Burn M1–M12 + Reserva)</t>
  </si>
  <si>
    <t>Zonix Pharma — Resumen inversión (v3.9.1)</t>
  </si>
  <si>
    <t>A — Use of funds (TOTAL SAFE Lean)</t>
  </si>
  <si>
    <t>TIMELINE + RESUMEN FASE 0 (v3.9.3)</t>
  </si>
  <si>
    <t>Bloque</t>
  </si>
  <si>
    <t>USD</t>
  </si>
  <si>
    <t>% del total</t>
  </si>
  <si>
    <t>Sub-fase 0a (T+0→T+30)</t>
  </si>
  <si>
    <t>Sub-fase 0b (T+30→T+60)</t>
  </si>
  <si>
    <t>TOTAL SAFE Lean</t>
  </si>
  <si>
    <t>Sub-fase 0c (T+60→T+90)</t>
  </si>
  <si>
    <t>Desglose Fase 0: one-shots ~22.365 + operativa ~27.895 (MO+mkt+transporte). Alquiler 3×750 dentro de HQ. v3.9.3.</t>
  </si>
  <si>
    <t>B — Desglose operativo Fase 0 (enlace Detallado)</t>
  </si>
  <si>
    <t>Informativo — no sumar bloques al TOTAL SAFE (Sección A). Subtotal Fase 0 = modelo timing 0a–0c, no suma de columnas visibles.</t>
  </si>
  <si>
    <t>Total USD</t>
  </si>
  <si>
    <t>Constitución empresa (sin BPF/CPE farmacia)</t>
  </si>
  <si>
    <t>v3.9.3: amueblado one-shot; alquiler en HQ; sin ops recurrentes Fase 0. Categorías=timing. Unit economics → ESTA SI VALE.</t>
  </si>
  <si>
    <t>Introducción al mercado / demo</t>
  </si>
  <si>
    <t>Marketing pre-lanzamiento (3 meses)</t>
  </si>
  <si>
    <t>Mano de obra Fase 0 (3 meses)</t>
  </si>
  <si>
    <t>Transporte B2B (referencia — no suma ancla)</t>
  </si>
  <si>
    <t>HQ y CapEx</t>
  </si>
  <si>
    <t>Materia prima: No aplica — marketplace SaaS (~154 USD/mes hosting/SMS en ESTA SI VALE).</t>
  </si>
  <si>
    <t>Validación: Fase 0 − one-shots − mkt pre (ops burn)</t>
  </si>
  <si>
    <t>Subtotal Fase 0 (T+0→Day-D)</t>
  </si>
  <si>
    <t>Zonix Pharma — inversión Fase 0 (espejo Detallado v3.9.1)</t>
  </si>
  <si>
    <t>RESUMEN CAPEX (v3.9.1)</t>
  </si>
  <si>
    <t>Refs informativas — HQ ya en one-shots; no sumar CapEx + TOTAL SAFE.</t>
  </si>
  <si>
    <t>Datos ZonixPharma — enlaces a Detallado. One-shots en Hoja3 Sección A. No sumar bloques al TOTAL SAFE. Marketplace SaaS (sin rubros producción física).</t>
  </si>
  <si>
    <t>Inversión CapEx HQ</t>
  </si>
  <si>
    <t>% CapEx / TOTAL SAFE Lean</t>
  </si>
  <si>
    <t>% SAFE</t>
  </si>
  <si>
    <t>TOTAL SAFE Lean (ref.)</t>
  </si>
  <si>
    <t>equipos</t>
  </si>
  <si>
    <t>Burn mensual ref. (MO+mkt)</t>
  </si>
  <si>
    <t>Reserva caja (ref.)</t>
  </si>
  <si>
    <t>% equity SAFE (ref.)</t>
  </si>
  <si>
    <t>Use of funds → Hoja3 Sección A</t>
  </si>
  <si>
    <t>Subtotal equipos (4 PCs)</t>
  </si>
  <si>
    <t>adecuacion</t>
  </si>
  <si>
    <t>Subtotal adecuación HQ</t>
  </si>
  <si>
    <t>mano de obra</t>
  </si>
  <si>
    <t>transporte</t>
  </si>
  <si>
    <t>alquiler</t>
  </si>
  <si>
    <t>Depósito HQ (one-shot) incluido en bloque adecuación. Arriendo mensual post-Day-D — ref. burn Detallado.</t>
  </si>
  <si>
    <t>constitucion empresa y permisos</t>
  </si>
  <si>
    <t>marketing — intro mercado / demo</t>
  </si>
  <si>
    <t>marketing — pre-lanzamiento (3 meses)</t>
  </si>
  <si>
    <t>materia (SaaS / hosting / SMS — marketplace)</t>
  </si>
  <si>
    <t>Equivalente digital marketplace (hosting/SMS). Desglose Detallado + unit economics → ESTA SI VALE (~154 USD/mes).</t>
  </si>
  <si>
    <t>Meta Ads M1-6 (USD)</t>
  </si>
  <si>
    <t>Meta Ads M7-12 (USD)</t>
  </si>
  <si>
    <t>Valla pequeña desde M3 (USD)</t>
  </si>
  <si>
    <t>Datos ZonixPharma — espejo Detallado/Hoja1. Bloques ESTA = vista due diligence. TOTAL SAFE oficial → Hoja3 §A. No sumar bloques al SAFE.</t>
  </si>
  <si>
    <t>Zonix Pharma — ESTA SI VALE (espejo Pizza v3.9.1)</t>
  </si>
  <si>
    <t>Zonix Pharma — Unit economics y escenarios</t>
  </si>
  <si>
    <t>gastos fijos mensuales (ref. burn/activas — no sumar SAFE)</t>
  </si>
  <si>
    <t>Año 2 ref.</t>
  </si>
  <si>
    <t>Concepto</t>
  </si>
  <si>
    <t>Valor</t>
  </si>
  <si>
    <t>Fuente</t>
  </si>
  <si>
    <t>Factor Año 2 MO (+40%)</t>
  </si>
  <si>
    <t>ARPF placeholder (USD/mes)</t>
  </si>
  <si>
    <t>UNIT_ECONOMICS</t>
  </si>
  <si>
    <t>Mano de obra (Fase 0 — 3 meses)</t>
  </si>
  <si>
    <t>CAC farmacia (USD)</t>
  </si>
  <si>
    <t>Churn mensual target</t>
  </si>
  <si>
    <t>Escenario margen 50%-30%</t>
  </si>
  <si>
    <t>LTV (USD)</t>
  </si>
  <si>
    <t>Mes 1</t>
  </si>
  <si>
    <t>LTV / CAC</t>
  </si>
  <si>
    <t>Mes 2</t>
  </si>
  <si>
    <t>Payback CAC (meses)</t>
  </si>
  <si>
    <t>Mes 3</t>
  </si>
  <si>
    <t>Margen bruto plataforma</t>
  </si>
  <si>
    <t>TOTAL ref.</t>
  </si>
  <si>
    <t>Cuota Basic (USD/mes)</t>
  </si>
  <si>
    <t>Escenario margen 60%-40%</t>
  </si>
  <si>
    <t>PROPUESTA B2B §5</t>
  </si>
  <si>
    <t>Cuota Pro (USD/mes)</t>
  </si>
  <si>
    <t>Cuota Enterprise (USD/mes)</t>
  </si>
  <si>
    <t>Mix Basic / Pro / Enterprise</t>
  </si>
  <si>
    <t>60/30/10</t>
  </si>
  <si>
    <t>PROYECCION §1.2</t>
  </si>
  <si>
    <t>Factor Año 2 transporte (+30%)</t>
  </si>
  <si>
    <t>Farmacias activas equilibrio Lean (M12 v3.3)</t>
  </si>
  <si>
    <t>PROYECCION — 4× Sales</t>
  </si>
  <si>
    <t>Transporte local (B2B / demo)</t>
  </si>
  <si>
    <t>Escenario margen 70%-50%</t>
  </si>
  <si>
    <t>ESCENARIOS CAPITAL (tiers)</t>
  </si>
  <si>
    <t>Tier</t>
  </si>
  <si>
    <t>Capital</t>
  </si>
  <si>
    <t>SAFE cap</t>
  </si>
  <si>
    <t>Lean — bootstrap 4× Sales (Carabobo) — capital (USD)</t>
  </si>
  <si>
    <t>Lean+ — 4× Sales curva ×1,15 (mismo capital Lean) — capital (USD)</t>
  </si>
  <si>
    <t>Base — piso de mercado — capital (USD)</t>
  </si>
  <si>
    <t>Constitución one-shot (sin escalación Año 2)</t>
  </si>
  <si>
    <t>Growth — mercado pleno — capital (USD)</t>
  </si>
  <si>
    <t>Constitución empresa y permisos (C.A. — sin BPF/CPE piloto)</t>
  </si>
  <si>
    <t>Blitz — Carabobo 6× Sales — capital (USD)</t>
  </si>
  <si>
    <t>ESCENARIOS PROYECCION §7 (P10/P50/P90)</t>
  </si>
  <si>
    <t>Escenario</t>
  </si>
  <si>
    <t>Activas M12</t>
  </si>
  <si>
    <t>ARPF</t>
  </si>
  <si>
    <t>Cash M12</t>
  </si>
  <si>
    <t>P10 pesimista</t>
  </si>
  <si>
    <t>P50 base</t>
  </si>
  <si>
    <t>P90 optimista</t>
  </si>
  <si>
    <t>Lean+ stretch (4×, curva ×1,15)</t>
  </si>
  <si>
    <t>Blitz stretch (6× Sales)</t>
  </si>
  <si>
    <t>Factor Año 2 intro/marketing (-50% one-shot)</t>
  </si>
  <si>
    <t>Introducción al mercado; primeros 3 meses</t>
  </si>
  <si>
    <t>Promedio mensual intro + mkt pre (3 meses)</t>
  </si>
  <si>
    <t>CapEx HQ / equipos / SaaS mensual → Hoja1 + Detallado. Use-of-funds SAFE → Hoja3 §A. No sumar bloques ESTA al TOTAL SAFE.</t>
  </si>
  <si>
    <t>BURN MENSUAL REF. (USD/mes) — enlazado Año 1</t>
  </si>
  <si>
    <t>SIMULADOR MARKETPLACE (espejo Año 1 — P50 base)</t>
  </si>
  <si>
    <t>USD/mes</t>
  </si>
  <si>
    <t>Mes</t>
  </si>
  <si>
    <t>Costo/activa (burn÷activas)</t>
  </si>
  <si>
    <t>Farmacias activas</t>
  </si>
  <si>
    <t>Costo total mes</t>
  </si>
  <si>
    <t>ARPF (USD)</t>
  </si>
  <si>
    <t>Revenue mes</t>
  </si>
  <si>
    <t>Util./activa</t>
  </si>
  <si>
    <t>Utilidad mes</t>
  </si>
  <si>
    <t>Nómina v3</t>
  </si>
  <si>
    <t>PRESUPUESTO §2.3</t>
  </si>
  <si>
    <t>Founder + Co-CEO</t>
  </si>
  <si>
    <t>HQ casa (arriendo + servicios)</t>
  </si>
  <si>
    <t>§2.3.1</t>
  </si>
  <si>
    <t>Hosting + SaaS + Firebase OTP</t>
  </si>
  <si>
    <t>tramos</t>
  </si>
  <si>
    <t>Material + transporte + contingencia (incl. buffer VE 20%)</t>
  </si>
  <si>
    <t>PRESUPUESTO §6</t>
  </si>
  <si>
    <t>Variable — no en burn fijo Lean</t>
  </si>
  <si>
    <t>Total utilidad M1-M12 (P50)</t>
  </si>
  <si>
    <t>Total burn ref. catálogo (fijos + contingencia)</t>
  </si>
  <si>
    <t>Payback inversor ilustrativo (SAFE 18.66%)</t>
  </si>
  <si>
    <t>Stress P10 (ARPF 40 fijo)</t>
  </si>
  <si>
    <t>Ver hoja Flujo Total — fila Payback (años). No promesa contractual.</t>
  </si>
  <si>
    <t>Activas</t>
  </si>
  <si>
    <t>Costo</t>
  </si>
  <si>
    <t>Revenue</t>
  </si>
  <si>
    <t>Utilidad</t>
  </si>
  <si>
    <t>Modelo financiero v3.9.1 — jun 2026 — pack Lanzamiento Zonix Pharma</t>
  </si>
  <si>
    <t>P10 stress</t>
  </si>
  <si>
    <t>Total utilidad P10</t>
  </si>
  <si>
    <t>ITEMS</t>
  </si>
  <si>
    <t>DATOS</t>
  </si>
  <si>
    <t>Average Revenue per Firm</t>
  </si>
  <si>
    <t>ARPF placeholder USD/mes</t>
  </si>
  <si>
    <t>Fact promedio</t>
  </si>
  <si>
    <t>Cuota Basic USD/mes</t>
  </si>
  <si>
    <t>Hasta 2000</t>
  </si>
  <si>
    <t>Cuota Pro USD/mes</t>
  </si>
  <si>
    <t>2000-5000</t>
  </si>
  <si>
    <t>Cuota Enterprise USD/mes</t>
  </si>
  <si>
    <t>mas 5000</t>
  </si>
  <si>
    <t>Mix Basic (ponderador)</t>
  </si>
  <si>
    <t>Mix Pro (ponderador)</t>
  </si>
  <si>
    <t>Mix Enterprise (ponderador)</t>
  </si>
  <si>
    <t>perdida clientes mes a mes</t>
  </si>
  <si>
    <t>Participación Inversor SAFE</t>
  </si>
  <si>
    <t>Participación Founders</t>
  </si>
  <si>
    <t>Tasa descuento VAN</t>
  </si>
  <si>
    <t>Capital SAFE Lean (USD)</t>
  </si>
  <si>
    <t>Nota escenario</t>
  </si>
  <si>
    <t>Lean ancla pack</t>
  </si>
  <si>
    <t>AÑO 1</t>
  </si>
  <si>
    <t>Mes 4</t>
  </si>
  <si>
    <t>Mes 5</t>
  </si>
  <si>
    <t>Mes 6</t>
  </si>
  <si>
    <t>Mes 7</t>
  </si>
  <si>
    <t>Mes 8</t>
  </si>
  <si>
    <t>Mes 9</t>
  </si>
  <si>
    <t>Mes 10</t>
  </si>
  <si>
    <t>Mes 11</t>
  </si>
  <si>
    <t>Mes 12</t>
  </si>
  <si>
    <t>TOTAL</t>
  </si>
  <si>
    <t>Farmacias firmadas (altas mes)</t>
  </si>
  <si>
    <t>Farmacias activas (stock cierre mes)</t>
  </si>
  <si>
    <t>Ingresos ($)</t>
  </si>
  <si>
    <t xml:space="preserve">      Ingresos cuota fija B2B</t>
  </si>
  <si>
    <t xml:space="preserve">      Ingresos comisión % GMV [EDITAR]</t>
  </si>
  <si>
    <t>Total Ingresos</t>
  </si>
  <si>
    <t>Costos ($)</t>
  </si>
  <si>
    <t xml:space="preserve">      Dev junior (Flutter/Laravel) x2 (1000 e/o)</t>
  </si>
  <si>
    <t xml:space="preserve">      Promo Lanzamiento x 10 farmacias (50 e/o)</t>
  </si>
  <si>
    <t xml:space="preserve">      4× Sales B2B</t>
  </si>
  <si>
    <t xml:space="preserve">      CS + Community Manager</t>
  </si>
  <si>
    <t xml:space="preserve">      Founder + Co-CEO + CEO</t>
  </si>
  <si>
    <t xml:space="preserve">      Herramientas IA</t>
  </si>
  <si>
    <t xml:space="preserve">      Contador + Abogado</t>
  </si>
  <si>
    <t xml:space="preserve">      HQ casa (arriendo + servicios)</t>
  </si>
  <si>
    <t xml:space="preserve">      Servicios oficina (electricidad, agua, internet)</t>
  </si>
  <si>
    <t xml:space="preserve">      Hosting + SaaS + Firebase OTP</t>
  </si>
  <si>
    <t xml:space="preserve">      Meta Ads</t>
  </si>
  <si>
    <t xml:space="preserve">      Valla pequeña (desde M3)</t>
  </si>
  <si>
    <t xml:space="preserve">      Publicidad Exterior (otros)</t>
  </si>
  <si>
    <t xml:space="preserve">      Material + transporte + contingencia (incl. buffer VE 20%)</t>
  </si>
  <si>
    <t>Total Costos</t>
  </si>
  <si>
    <t>FCF</t>
  </si>
  <si>
    <t>FCF acumulado</t>
  </si>
  <si>
    <t>CCF (inversor SAFE 18,66%)</t>
  </si>
  <si>
    <t>ECF (founders 81,34%)</t>
  </si>
  <si>
    <t>Cash deployment (post Day-D)</t>
  </si>
  <si>
    <t>Cash inicial mes</t>
  </si>
  <si>
    <t>Cash final mes</t>
  </si>
  <si>
    <t xml:space="preserve">      Dev junior (Flutter/Laravel)</t>
  </si>
  <si>
    <t xml:space="preserve">      Founder + Co-CEO</t>
  </si>
  <si>
    <t>Ticket Promedio</t>
  </si>
  <si>
    <t>% GMV</t>
  </si>
  <si>
    <t xml:space="preserve">      Ajuste billing pack PROYECCION §1.1</t>
  </si>
  <si>
    <t>Farmacias activas cierre (ref.)</t>
  </si>
  <si>
    <t>Revenue anual USD [LARGO PLAZO]</t>
  </si>
  <si>
    <t>Costos anual USD [LARGO PLAZO]</t>
  </si>
  <si>
    <t>Etiqueta</t>
  </si>
  <si>
    <t>PROYECCION §2</t>
  </si>
  <si>
    <t>AÑO 2</t>
  </si>
  <si>
    <t>Farmacias activas promedio mes [LARGO PLAZO]</t>
  </si>
  <si>
    <t xml:space="preserve">      Revenue plataforma</t>
  </si>
  <si>
    <t xml:space="preserve">      Equipo comercial + ops</t>
  </si>
  <si>
    <t xml:space="preserve">      Marketing digital</t>
  </si>
  <si>
    <t xml:space="preserve">      Hosting + SaaS</t>
  </si>
  <si>
    <t xml:space="preserve">      Legal / contador</t>
  </si>
  <si>
    <t xml:space="preserve">      HQ + servicios</t>
  </si>
  <si>
    <t xml:space="preserve">      Imprevistos / buffer</t>
  </si>
  <si>
    <t>PROYECCION §3</t>
  </si>
  <si>
    <t>AÑO 3</t>
  </si>
  <si>
    <t>SUPUESTO MODELO</t>
  </si>
  <si>
    <t>AÑO 4</t>
  </si>
  <si>
    <t>AÑO 5</t>
  </si>
  <si>
    <t>PREMISAS DEL PROYECTO E INDICADORES — Zonix Pharma</t>
  </si>
  <si>
    <t>Tasa Descuento</t>
  </si>
  <si>
    <t>Inversión Inicial (wire T+0)</t>
  </si>
  <si>
    <t>SAFE post-money cap Lean</t>
  </si>
  <si>
    <t>Nota reparto</t>
  </si>
  <si>
    <t>Ilustrativo — no sustituye term sheet SAFE</t>
  </si>
  <si>
    <t>Año 1</t>
  </si>
  <si>
    <t>Año 2</t>
  </si>
  <si>
    <t>Año 3</t>
  </si>
  <si>
    <t>Año 4</t>
  </si>
  <si>
    <t>Año 5</t>
  </si>
  <si>
    <t>Farmacias activas cierre</t>
  </si>
  <si>
    <t>Total Ingresos anual</t>
  </si>
  <si>
    <t>Total Costos anual</t>
  </si>
  <si>
    <t>FCF anual</t>
  </si>
  <si>
    <t>CCF (inversor SAFE)</t>
  </si>
  <si>
    <t>CCF acum Y5</t>
  </si>
  <si>
    <t>Por recuperar Y5</t>
  </si>
  <si>
    <t>CCF acumulado (inversor)</t>
  </si>
  <si>
    <t>Por recuperar inversor (SAFE)</t>
  </si>
  <si>
    <t>ECF (founders)</t>
  </si>
  <si>
    <t>Flujo IRR</t>
  </si>
  <si>
    <t>VP Flujos(5)</t>
  </si>
  <si>
    <t>VAN(5)</t>
  </si>
  <si>
    <t>VP Flujos(3)</t>
  </si>
  <si>
    <t>VAN(3)</t>
  </si>
  <si>
    <t>TIR(5)</t>
  </si>
  <si>
    <t>TIR(3)</t>
  </si>
  <si>
    <t>Tasa Requerida (r)</t>
  </si>
  <si>
    <t>Payback inversor (años, ilustrativo)</t>
  </si>
  <si>
    <t>% SAFE recuperado (CCF acum Y5, ilustrativo)</t>
  </si>
  <si>
    <t>Lectura payback</t>
  </si>
  <si>
    <t>NOTA: Reparto CCF/ECF ilustrativo post-cap SAFE 18,66%. No cláusula de dividendos.</t>
  </si>
  <si>
    <t>TASAS DE CRECIMIENTO — Zonix Pharma</t>
  </si>
  <si>
    <t>Revenue anual % vs año anterior</t>
  </si>
  <si>
    <t>Revenue anual USD</t>
  </si>
  <si>
    <t>ARPF placeholder USD</t>
  </si>
  <si>
    <t>Burn prom. mensual USD</t>
  </si>
  <si>
    <t>ancla</t>
  </si>
  <si>
    <t>PROY §2</t>
  </si>
  <si>
    <t>PROY §3</t>
  </si>
  <si>
    <t>SUPUESTO</t>
  </si>
</sst>
</file>

<file path=xl/styles.xml><?xml version="1.0" encoding="utf-8"?>
<styleSheet xmlns="http://schemas.openxmlformats.org/spreadsheetml/2006/main">
  <numFmts count="9">
    <numFmt numFmtId="176" formatCode="#,##0.00;[Red]#,##0.00"/>
    <numFmt numFmtId="177" formatCode="#,###.##000_ "/>
    <numFmt numFmtId="178" formatCode="_ * #,##0.00_ ;_ * \-#,##0.00_ ;_ * &quot;-&quot;??_ ;_ @_ "/>
    <numFmt numFmtId="179" formatCode="#,##0.00;[Red]\(#,##0.00\)"/>
    <numFmt numFmtId="43" formatCode="_-* #,##0.00_-;\-* #,##0.00_-;_-* &quot;-&quot;??_-;_-@_-"/>
    <numFmt numFmtId="180" formatCode="_-* #,##0.00\ &quot;€&quot;_-;\-* #,##0.00\ &quot;€&quot;_-;_-* \-??\ &quot;€&quot;_-;_-@_-"/>
    <numFmt numFmtId="41" formatCode="_-* #,##0_-;\-* #,##0_-;_-* &quot;-&quot;_-;_-@_-"/>
    <numFmt numFmtId="181" formatCode="_-* #,##0\ &quot;€&quot;_-;\-* #,##0\ &quot;€&quot;_-;_-* &quot;-&quot;\ &quot;€&quot;_-;_-@_-"/>
    <numFmt numFmtId="182" formatCode="0.00&quot; &quot;%"/>
  </numFmts>
  <fonts count="37">
    <font>
      <sz val="11"/>
      <color theme="1"/>
      <name val="Calibri"/>
      <charset val="1"/>
    </font>
    <font>
      <b/>
      <sz val="20"/>
      <color rgb="FFFFFFFF"/>
      <name val="HelveticaNeueLT Std"/>
      <charset val="1"/>
    </font>
    <font>
      <b/>
      <sz val="9"/>
      <name val="Aptos Narrow"/>
      <charset val="1"/>
    </font>
    <font>
      <b/>
      <sz val="9"/>
      <color rgb="FFFFFFFF"/>
      <name val="Aptos Narrow"/>
      <charset val="1"/>
    </font>
    <font>
      <sz val="9"/>
      <name val="Aptos Narrow"/>
      <charset val="1"/>
    </font>
    <font>
      <b/>
      <sz val="8"/>
      <color rgb="FFFFFFFF"/>
      <name val="Arial"/>
      <charset val="1"/>
    </font>
    <font>
      <sz val="8"/>
      <name val="Arial"/>
      <charset val="1"/>
    </font>
    <font>
      <b/>
      <sz val="10"/>
      <name val="Arial"/>
      <charset val="1"/>
    </font>
    <font>
      <i/>
      <sz val="9"/>
      <color rgb="FF444444"/>
      <name val="Aptos Narrow"/>
      <charset val="1"/>
    </font>
    <font>
      <b/>
      <sz val="10"/>
      <color rgb="FF444444"/>
      <name val="HelveticaNeueLT Std"/>
      <charset val="1"/>
    </font>
    <font>
      <b/>
      <sz val="9"/>
      <name val="Cambria"/>
      <charset val="1"/>
    </font>
    <font>
      <b/>
      <sz val="10"/>
      <name val="Cambria"/>
      <charset val="1"/>
    </font>
    <font>
      <b/>
      <sz val="24"/>
      <name val="Calibri"/>
      <charset val="1"/>
    </font>
    <font>
      <b/>
      <sz val="10"/>
      <color rgb="FFFFFFFF"/>
      <name val="HelveticaNeueLT Std"/>
      <charset val="1"/>
    </font>
    <font>
      <sz val="11"/>
      <color rgb="FFFF0000"/>
      <name val="Calibri"/>
      <charset val="1"/>
    </font>
    <font>
      <b/>
      <sz val="9"/>
      <color rgb="FFFFFFFF"/>
      <name val="Aptos Narrow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0"/>
      <name val="SimSun"/>
      <charset val="134"/>
    </font>
  </fonts>
  <fills count="42">
    <fill>
      <patternFill patternType="none"/>
    </fill>
    <fill>
      <patternFill patternType="gray125"/>
    </fill>
    <fill>
      <patternFill patternType="solid">
        <fgColor rgb="FF00B050"/>
        <bgColor rgb="FF008080"/>
      </patternFill>
    </fill>
    <fill>
      <patternFill patternType="solid">
        <fgColor rgb="FFFFC000"/>
        <bgColor rgb="FFFF9900"/>
      </patternFill>
    </fill>
    <fill>
      <patternFill patternType="solid">
        <fgColor rgb="FFAC75D5"/>
        <bgColor rgb="FF969696"/>
      </patternFill>
    </fill>
    <fill>
      <patternFill patternType="solid">
        <fgColor rgb="FFD1B2E8"/>
        <bgColor rgb="FFCCCCFF"/>
      </patternFill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69696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</fills>
  <borders count="2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double">
        <color rgb="FFAC75D5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double">
        <color rgb="FFAC75D5"/>
      </top>
      <bottom style="thin">
        <color rgb="FFCCCCCC"/>
      </bottom>
      <diagonal/>
    </border>
    <border>
      <left style="thin">
        <color rgb="FFCCCCCC"/>
      </left>
      <right/>
      <top style="double">
        <color rgb="FFAC75D5"/>
      </top>
      <bottom style="thin">
        <color rgb="FFCCCCCC"/>
      </bottom>
      <diagonal/>
    </border>
    <border>
      <left/>
      <right/>
      <top style="double">
        <color rgb="FFAC75D5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double">
        <color rgb="FFAC75D5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19" fillId="30" borderId="0">
      <alignment vertical="center"/>
    </xf>
    <xf numFmtId="0" fontId="18" fillId="28" borderId="0">
      <alignment vertical="center"/>
    </xf>
    <xf numFmtId="0" fontId="19" fillId="24" borderId="0">
      <alignment vertical="center"/>
    </xf>
    <xf numFmtId="0" fontId="19" fillId="39" borderId="0">
      <alignment vertical="center"/>
    </xf>
    <xf numFmtId="0" fontId="18" fillId="34" borderId="0">
      <alignment vertical="center"/>
    </xf>
    <xf numFmtId="0" fontId="18" fillId="36" borderId="0">
      <alignment vertical="center"/>
    </xf>
    <xf numFmtId="0" fontId="19" fillId="16" borderId="0">
      <alignment vertical="center"/>
    </xf>
    <xf numFmtId="0" fontId="19" fillId="40" borderId="0">
      <alignment vertical="center"/>
    </xf>
    <xf numFmtId="0" fontId="18" fillId="32" borderId="0">
      <alignment vertical="center"/>
    </xf>
    <xf numFmtId="0" fontId="19" fillId="26" borderId="0">
      <alignment vertical="center"/>
    </xf>
    <xf numFmtId="0" fontId="32" fillId="0" borderId="19">
      <alignment vertical="center"/>
    </xf>
    <xf numFmtId="0" fontId="18" fillId="22" borderId="0">
      <alignment vertical="center"/>
    </xf>
    <xf numFmtId="0" fontId="19" fillId="31" borderId="0">
      <alignment vertical="center"/>
    </xf>
    <xf numFmtId="0" fontId="19" fillId="29" borderId="0">
      <alignment vertical="center"/>
    </xf>
    <xf numFmtId="0" fontId="18" fillId="17" borderId="0">
      <alignment vertical="center"/>
    </xf>
    <xf numFmtId="0" fontId="18" fillId="27" borderId="0">
      <alignment vertical="center"/>
    </xf>
    <xf numFmtId="0" fontId="19" fillId="33" borderId="0">
      <alignment vertical="center"/>
    </xf>
    <xf numFmtId="0" fontId="18" fillId="41" borderId="0">
      <alignment vertical="center"/>
    </xf>
    <xf numFmtId="0" fontId="18" fillId="38" borderId="0">
      <alignment vertical="center"/>
    </xf>
    <xf numFmtId="0" fontId="19" fillId="19" borderId="0">
      <alignment vertical="center"/>
    </xf>
    <xf numFmtId="0" fontId="34" fillId="35" borderId="0">
      <alignment vertical="center"/>
    </xf>
    <xf numFmtId="0" fontId="19" fillId="25" borderId="0">
      <alignment vertical="center"/>
    </xf>
    <xf numFmtId="0" fontId="25" fillId="18" borderId="0">
      <alignment vertical="center"/>
    </xf>
    <xf numFmtId="0" fontId="18" fillId="12" borderId="0">
      <alignment vertical="center"/>
    </xf>
    <xf numFmtId="0" fontId="30" fillId="0" borderId="17">
      <alignment vertical="center"/>
    </xf>
    <xf numFmtId="0" fontId="31" fillId="20" borderId="18">
      <alignment vertical="center"/>
    </xf>
    <xf numFmtId="180" fontId="17" fillId="0" borderId="0">
      <alignment vertical="center"/>
    </xf>
    <xf numFmtId="0" fontId="18" fillId="23" borderId="0">
      <alignment vertical="center"/>
    </xf>
    <xf numFmtId="0" fontId="17" fillId="21" borderId="16">
      <alignment vertical="center"/>
    </xf>
    <xf numFmtId="0" fontId="21" fillId="15" borderId="13">
      <alignment vertical="center"/>
    </xf>
    <xf numFmtId="0" fontId="28" fillId="0" borderId="0">
      <alignment vertical="center"/>
    </xf>
    <xf numFmtId="0" fontId="29" fillId="20" borderId="13">
      <alignment vertical="center"/>
    </xf>
    <xf numFmtId="0" fontId="35" fillId="37" borderId="0">
      <alignment vertical="center"/>
    </xf>
    <xf numFmtId="0" fontId="28" fillId="0" borderId="15">
      <alignment vertical="center"/>
    </xf>
    <xf numFmtId="0" fontId="27" fillId="0" borderId="0">
      <alignment vertical="center"/>
    </xf>
    <xf numFmtId="0" fontId="26" fillId="0" borderId="14">
      <alignment vertical="center"/>
    </xf>
    <xf numFmtId="41" fontId="17" fillId="0" borderId="0">
      <alignment vertical="center"/>
    </xf>
    <xf numFmtId="0" fontId="18" fillId="10" borderId="0">
      <alignment vertical="center"/>
    </xf>
    <xf numFmtId="0" fontId="24" fillId="0" borderId="0">
      <alignment vertical="center"/>
    </xf>
    <xf numFmtId="181" fontId="17" fillId="0" borderId="0">
      <alignment vertical="center"/>
    </xf>
    <xf numFmtId="0" fontId="33" fillId="0" borderId="0">
      <alignment vertical="center"/>
    </xf>
    <xf numFmtId="0" fontId="23" fillId="0" borderId="0">
      <alignment vertical="center"/>
    </xf>
    <xf numFmtId="0" fontId="22" fillId="0" borderId="14">
      <alignment vertical="center"/>
    </xf>
    <xf numFmtId="43" fontId="0" fillId="0" borderId="0"/>
    <xf numFmtId="0" fontId="20" fillId="14" borderId="12">
      <alignment vertical="center"/>
    </xf>
    <xf numFmtId="0" fontId="19" fillId="13" borderId="0">
      <alignment vertical="center"/>
    </xf>
    <xf numFmtId="9" fontId="17" fillId="0" borderId="0">
      <alignment vertical="center"/>
    </xf>
    <xf numFmtId="0" fontId="16" fillId="0" borderId="0">
      <alignment vertical="center"/>
    </xf>
  </cellStyleXfs>
  <cellXfs count="8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82" fontId="0" fillId="0" borderId="1" xfId="0" applyNumberFormat="1" applyBorder="1"/>
    <xf numFmtId="179" fontId="0" fillId="0" borderId="1" xfId="0" applyNumberFormat="1" applyBorder="1"/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/>
    <xf numFmtId="179" fontId="4" fillId="5" borderId="1" xfId="0" applyNumberFormat="1" applyFont="1" applyFill="1" applyBorder="1"/>
    <xf numFmtId="0" fontId="4" fillId="6" borderId="1" xfId="0" applyFont="1" applyFill="1" applyBorder="1"/>
    <xf numFmtId="182" fontId="4" fillId="6" borderId="1" xfId="0" applyNumberFormat="1" applyFont="1" applyFill="1" applyBorder="1"/>
    <xf numFmtId="182" fontId="4" fillId="5" borderId="1" xfId="0" applyNumberFormat="1" applyFont="1" applyFill="1" applyBorder="1"/>
    <xf numFmtId="179" fontId="4" fillId="6" borderId="1" xfId="0" applyNumberFormat="1" applyFont="1" applyFill="1" applyBorder="1"/>
    <xf numFmtId="0" fontId="2" fillId="3" borderId="2" xfId="0" applyFont="1" applyFill="1" applyBorder="1"/>
    <xf numFmtId="179" fontId="2" fillId="3" borderId="2" xfId="0" applyNumberFormat="1" applyFont="1" applyFill="1" applyBorder="1"/>
    <xf numFmtId="0" fontId="4" fillId="0" borderId="1" xfId="0" applyFont="1" applyBorder="1"/>
    <xf numFmtId="0" fontId="2" fillId="7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5" borderId="1" xfId="0" applyFont="1" applyFill="1" applyBorder="1"/>
    <xf numFmtId="179" fontId="6" fillId="5" borderId="1" xfId="0" applyNumberFormat="1" applyFont="1" applyFill="1" applyBorder="1"/>
    <xf numFmtId="0" fontId="6" fillId="6" borderId="1" xfId="0" applyFont="1" applyFill="1" applyBorder="1"/>
    <xf numFmtId="179" fontId="6" fillId="6" borderId="1" xfId="0" applyNumberFormat="1" applyFont="1" applyFill="1" applyBorder="1"/>
    <xf numFmtId="182" fontId="6" fillId="6" borderId="1" xfId="0" applyNumberFormat="1" applyFont="1" applyFill="1" applyBorder="1"/>
    <xf numFmtId="182" fontId="6" fillId="5" borderId="1" xfId="0" applyNumberFormat="1" applyFont="1" applyFill="1" applyBorder="1"/>
    <xf numFmtId="0" fontId="7" fillId="0" borderId="1" xfId="0" applyFont="1" applyBorder="1"/>
    <xf numFmtId="0" fontId="7" fillId="3" borderId="0" xfId="0" applyFont="1" applyFill="1" applyAlignment="1">
      <alignment horizontal="center"/>
    </xf>
    <xf numFmtId="0" fontId="2" fillId="5" borderId="1" xfId="0" applyFont="1" applyFill="1" applyBorder="1"/>
    <xf numFmtId="9" fontId="0" fillId="0" borderId="0" xfId="0" applyNumberFormat="1"/>
    <xf numFmtId="178" fontId="0" fillId="0" borderId="0" xfId="44" applyNumberFormat="1"/>
    <xf numFmtId="178" fontId="0" fillId="0" borderId="0" xfId="0" applyNumberFormat="1"/>
    <xf numFmtId="0" fontId="8" fillId="5" borderId="0" xfId="0" applyFont="1" applyFill="1" applyAlignment="1">
      <alignment wrapText="1"/>
    </xf>
    <xf numFmtId="0" fontId="1" fillId="2" borderId="3" xfId="0" applyFont="1" applyFill="1" applyBorder="1" applyAlignment="1">
      <alignment horizontal="center"/>
    </xf>
    <xf numFmtId="0" fontId="0" fillId="0" borderId="4" xfId="0" applyBorder="1"/>
    <xf numFmtId="0" fontId="8" fillId="0" borderId="0" xfId="0" applyFont="1"/>
    <xf numFmtId="0" fontId="9" fillId="5" borderId="1" xfId="0" applyFont="1" applyFill="1" applyBorder="1"/>
    <xf numFmtId="0" fontId="0" fillId="0" borderId="5" xfId="0" applyBorder="1"/>
    <xf numFmtId="0" fontId="0" fillId="5" borderId="1" xfId="0" applyFill="1" applyBorder="1"/>
    <xf numFmtId="179" fontId="0" fillId="5" borderId="1" xfId="0" applyNumberFormat="1" applyFill="1" applyBorder="1"/>
    <xf numFmtId="0" fontId="2" fillId="5" borderId="0" xfId="0" applyFont="1" applyFill="1"/>
    <xf numFmtId="182" fontId="0" fillId="5" borderId="1" xfId="0" applyNumberFormat="1" applyFill="1" applyBorder="1"/>
    <xf numFmtId="0" fontId="1" fillId="0" borderId="1" xfId="0" applyFont="1" applyBorder="1"/>
    <xf numFmtId="0" fontId="10" fillId="0" borderId="1" xfId="0" applyFont="1" applyBorder="1" applyAlignment="1">
      <alignment wrapText="1"/>
    </xf>
    <xf numFmtId="0" fontId="11" fillId="0" borderId="1" xfId="0" applyFont="1" applyBorder="1"/>
    <xf numFmtId="0" fontId="0" fillId="5" borderId="0" xfId="0" applyFill="1"/>
    <xf numFmtId="179" fontId="2" fillId="5" borderId="1" xfId="0" applyNumberFormat="1" applyFont="1" applyFill="1" applyBorder="1"/>
    <xf numFmtId="0" fontId="8" fillId="5" borderId="1" xfId="0" applyFont="1" applyFill="1" applyBorder="1"/>
    <xf numFmtId="0" fontId="2" fillId="0" borderId="1" xfId="0" applyFont="1" applyBorder="1"/>
    <xf numFmtId="0" fontId="8" fillId="0" borderId="1" xfId="0" applyFont="1" applyBorder="1"/>
    <xf numFmtId="0" fontId="12" fillId="2" borderId="0" xfId="0" applyFont="1" applyFill="1" applyAlignment="1">
      <alignment horizontal="center" vertical="center" wrapText="1"/>
    </xf>
    <xf numFmtId="0" fontId="2" fillId="8" borderId="2" xfId="0" applyFont="1" applyFill="1" applyBorder="1"/>
    <xf numFmtId="0" fontId="0" fillId="0" borderId="6" xfId="0" applyBorder="1"/>
    <xf numFmtId="179" fontId="2" fillId="8" borderId="2" xfId="0" applyNumberFormat="1" applyFont="1" applyFill="1" applyBorder="1"/>
    <xf numFmtId="0" fontId="13" fillId="9" borderId="1" xfId="0" applyFont="1" applyFill="1" applyBorder="1"/>
    <xf numFmtId="0" fontId="2" fillId="8" borderId="7" xfId="0" applyFont="1" applyFill="1" applyBorder="1"/>
    <xf numFmtId="0" fontId="0" fillId="0" borderId="8" xfId="0" applyBorder="1"/>
    <xf numFmtId="0" fontId="3" fillId="4" borderId="0" xfId="0" applyFont="1" applyFill="1" applyAlignment="1">
      <alignment horizontal="center"/>
    </xf>
    <xf numFmtId="179" fontId="2" fillId="0" borderId="1" xfId="0" applyNumberFormat="1" applyFont="1" applyBorder="1"/>
    <xf numFmtId="182" fontId="8" fillId="0" borderId="1" xfId="0" applyNumberFormat="1" applyFont="1" applyBorder="1"/>
    <xf numFmtId="0" fontId="13" fillId="2" borderId="9" xfId="0" applyFont="1" applyFill="1" applyBorder="1"/>
    <xf numFmtId="0" fontId="0" fillId="10" borderId="9" xfId="0" applyFill="1" applyBorder="1"/>
    <xf numFmtId="0" fontId="0" fillId="0" borderId="9" xfId="0" applyBorder="1"/>
    <xf numFmtId="0" fontId="14" fillId="10" borderId="9" xfId="0" applyFont="1" applyFill="1" applyBorder="1"/>
    <xf numFmtId="0" fontId="0" fillId="10" borderId="1" xfId="0" applyFill="1" applyBorder="1" applyAlignment="1">
      <alignment horizontal="left"/>
    </xf>
    <xf numFmtId="0" fontId="15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179" fontId="0" fillId="10" borderId="1" xfId="0" applyNumberFormat="1" applyFill="1" applyBorder="1"/>
    <xf numFmtId="179" fontId="2" fillId="10" borderId="1" xfId="0" applyNumberFormat="1" applyFont="1" applyFill="1" applyBorder="1"/>
    <xf numFmtId="182" fontId="0" fillId="10" borderId="1" xfId="0" applyNumberFormat="1" applyFill="1" applyBorder="1"/>
    <xf numFmtId="182" fontId="2" fillId="10" borderId="1" xfId="0" applyNumberFormat="1" applyFont="1" applyFill="1" applyBorder="1"/>
    <xf numFmtId="182" fontId="2" fillId="8" borderId="1" xfId="0" applyNumberFormat="1" applyFont="1" applyFill="1" applyBorder="1"/>
    <xf numFmtId="0" fontId="0" fillId="10" borderId="0" xfId="0" applyFill="1"/>
    <xf numFmtId="0" fontId="2" fillId="10" borderId="1" xfId="0" applyFont="1" applyFill="1" applyBorder="1"/>
    <xf numFmtId="177" fontId="0" fillId="0" borderId="0" xfId="0" applyNumberFormat="1"/>
    <xf numFmtId="176" fontId="0" fillId="0" borderId="0" xfId="0" applyNumberFormat="1"/>
    <xf numFmtId="0" fontId="0" fillId="10" borderId="5" xfId="0" applyFill="1" applyBorder="1" applyAlignment="1">
      <alignment horizontal="left"/>
    </xf>
    <xf numFmtId="0" fontId="0" fillId="10" borderId="10" xfId="0" applyFill="1" applyBorder="1" applyAlignment="1">
      <alignment horizontal="left"/>
    </xf>
    <xf numFmtId="0" fontId="0" fillId="0" borderId="10" xfId="0" applyBorder="1"/>
    <xf numFmtId="0" fontId="0" fillId="10" borderId="0" xfId="0" applyFill="1" applyAlignment="1">
      <alignment horizontal="left"/>
    </xf>
    <xf numFmtId="0" fontId="0" fillId="10" borderId="11" xfId="0" applyFill="1" applyBorder="1" applyAlignment="1">
      <alignment horizontal="left"/>
    </xf>
    <xf numFmtId="0" fontId="0" fillId="0" borderId="11" xfId="0" applyBorder="1"/>
    <xf numFmtId="179" fontId="0" fillId="10" borderId="0" xfId="0" applyNumberFormat="1" applyFill="1"/>
    <xf numFmtId="182" fontId="0" fillId="0" borderId="0" xfId="0" applyNumberFormat="1"/>
    <xf numFmtId="0" fontId="14" fillId="11" borderId="0" xfId="0" applyFont="1" applyFill="1"/>
    <xf numFmtId="179" fontId="14" fillId="11" borderId="1" xfId="0" applyNumberFormat="1" applyFont="1" applyFill="1" applyBorder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CCCCC"/>
      <rgbColor rgb="00808080"/>
      <rgbColor rgb="00AC75D5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D1B2E8"/>
      <rgbColor rgb="00FFCC99"/>
      <rgbColor rgb="003366FF"/>
      <rgbColor rgb="0033CCCC"/>
      <rgbColor rgb="0092D050"/>
      <rgbColor rgb="00FFC000"/>
      <rgbColor rgb="00FF9900"/>
      <rgbColor rgb="00FF6600"/>
      <rgbColor rgb="00666699"/>
      <rgbColor rgb="00969696"/>
      <rgbColor rgb="00003366"/>
      <rgbColor rgb="0000B050"/>
      <rgbColor rgb="00003300"/>
      <rgbColor rgb="00333300"/>
      <rgbColor rgb="00993300"/>
      <rgbColor rgb="00993366"/>
      <rgbColor rgb="00333399"/>
      <rgbColor rgb="00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haredStrings" Target="sharedStrings.xml"/><Relationship Id="rId16" Type="http://schemas.openxmlformats.org/officeDocument/2006/relationships/styles" Target="style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124"/>
  <sheetViews>
    <sheetView workbookViewId="0">
      <pane xSplit="2" ySplit="9" topLeftCell="C10" activePane="bottomRight" state="frozen"/>
      <selection/>
      <selection pane="topRight"/>
      <selection pane="bottomLeft"/>
      <selection pane="bottomRight" activeCell="G126" sqref="G126"/>
    </sheetView>
  </sheetViews>
  <sheetFormatPr defaultColWidth="8.66666666666667" defaultRowHeight="14.25"/>
  <cols>
    <col min="1" max="2" width="3" customWidth="1"/>
    <col min="3" max="3" width="13" customWidth="1"/>
    <col min="4" max="4" width="56.5583333333333" customWidth="1"/>
    <col min="5" max="5" width="13.8833333333333" customWidth="1"/>
    <col min="6" max="6" width="16.3333333333333" customWidth="1"/>
    <col min="7" max="7" width="21.5583333333333" customWidth="1"/>
    <col min="8" max="8" width="11.5583333333333" customWidth="1"/>
    <col min="9" max="11" width="13" customWidth="1"/>
    <col min="12" max="12" width="50.6666666666667" customWidth="1"/>
    <col min="13" max="13" width="56.1083333333333" customWidth="1"/>
    <col min="14" max="14" width="10" customWidth="1"/>
    <col min="15" max="15" width="11" customWidth="1"/>
  </cols>
  <sheetData>
    <row r="1" spans="3:3">
      <c r="C1" t="s">
        <v>0</v>
      </c>
    </row>
    <row r="4" ht="29.1" customHeight="1" spans="3:3">
      <c r="C4" s="1" t="s">
        <v>1</v>
      </c>
    </row>
    <row r="8" spans="3:9">
      <c r="C8" s="6" t="s">
        <v>2</v>
      </c>
      <c r="E8" s="63" t="s">
        <v>3</v>
      </c>
      <c r="F8" s="63" t="s">
        <v>4</v>
      </c>
      <c r="G8" s="63" t="s">
        <v>5</v>
      </c>
      <c r="H8" s="6"/>
      <c r="I8" s="6"/>
    </row>
    <row r="9" spans="6:9">
      <c r="F9" s="64"/>
      <c r="G9" s="64"/>
      <c r="H9" s="64"/>
      <c r="I9" s="64"/>
    </row>
    <row r="10" spans="3:11">
      <c r="C10" s="58" t="s">
        <v>6</v>
      </c>
      <c r="D10" s="35"/>
      <c r="E10" s="65" t="s">
        <v>7</v>
      </c>
      <c r="F10" s="65" t="s">
        <v>8</v>
      </c>
      <c r="G10" s="64"/>
      <c r="H10" s="64"/>
      <c r="I10" s="64"/>
      <c r="K10" s="55" t="s">
        <v>9</v>
      </c>
    </row>
    <row r="11" spans="3:15">
      <c r="C11" s="59" t="s">
        <v>10</v>
      </c>
      <c r="D11" s="35"/>
      <c r="E11" s="66">
        <v>1</v>
      </c>
      <c r="F11" s="66">
        <v>1200</v>
      </c>
      <c r="G11" s="67">
        <f t="shared" ref="G11:G17" si="0">E11*F11</f>
        <v>1200</v>
      </c>
      <c r="H11" s="68">
        <f>IF(G11=0,"",G11/G124)</f>
        <v>0.00569368001518315</v>
      </c>
      <c r="I11" s="71"/>
      <c r="K11" s="3" t="s">
        <v>11</v>
      </c>
      <c r="M11" s="66">
        <f>G91</f>
        <v>22365</v>
      </c>
      <c r="O11" s="73">
        <f>G18+G33+G81</f>
        <v>22365</v>
      </c>
    </row>
    <row r="12" spans="3:15">
      <c r="C12" s="59" t="s">
        <v>12</v>
      </c>
      <c r="D12" s="35"/>
      <c r="E12" s="66">
        <v>1</v>
      </c>
      <c r="F12" s="66">
        <v>600</v>
      </c>
      <c r="G12" s="66">
        <f t="shared" si="0"/>
        <v>600</v>
      </c>
      <c r="H12" s="69">
        <f>IF(G12=0,"",G12/G124)</f>
        <v>0.00284684000759157</v>
      </c>
      <c r="I12" s="71"/>
      <c r="K12" s="3" t="s">
        <v>13</v>
      </c>
      <c r="M12" s="5">
        <f>G52+G39+G62</f>
        <v>27895</v>
      </c>
      <c r="O12" s="73"/>
    </row>
    <row r="13" spans="3:15">
      <c r="C13" s="59" t="s">
        <v>14</v>
      </c>
      <c r="D13" s="35"/>
      <c r="E13" s="66">
        <v>1</v>
      </c>
      <c r="F13" s="66">
        <v>1500</v>
      </c>
      <c r="G13" s="66">
        <f t="shared" si="0"/>
        <v>1500</v>
      </c>
      <c r="H13" s="68">
        <f>IF(G13=0,"",G13/G124)</f>
        <v>0.00711710001897893</v>
      </c>
      <c r="I13" s="72" t="s">
        <v>15</v>
      </c>
      <c r="K13" s="3" t="s">
        <v>16</v>
      </c>
      <c r="M13" s="5">
        <f>G87</f>
        <v>50260</v>
      </c>
      <c r="N13" s="74">
        <f>M13-M11-M12</f>
        <v>0</v>
      </c>
      <c r="O13" s="73">
        <f>M13-M11-G39-G62</f>
        <v>21375</v>
      </c>
    </row>
    <row r="14" spans="3:15">
      <c r="C14" s="59" t="s">
        <v>17</v>
      </c>
      <c r="D14" s="35"/>
      <c r="E14" s="66">
        <v>1</v>
      </c>
      <c r="F14" s="66">
        <v>1100</v>
      </c>
      <c r="G14" s="66">
        <f t="shared" si="0"/>
        <v>1100</v>
      </c>
      <c r="H14" s="68">
        <f>IF(G14=0,"",G14/G124)</f>
        <v>0.00521920668058455</v>
      </c>
      <c r="I14" s="71"/>
      <c r="K14" s="3" t="s">
        <v>18</v>
      </c>
      <c r="M14" s="5">
        <f>G89</f>
        <v>160500</v>
      </c>
      <c r="O14" s="73"/>
    </row>
    <row r="15" spans="3:15">
      <c r="C15" s="59" t="s">
        <v>19</v>
      </c>
      <c r="D15" s="35"/>
      <c r="E15" s="66">
        <v>1</v>
      </c>
      <c r="F15" s="66">
        <v>100</v>
      </c>
      <c r="G15" s="66">
        <f t="shared" si="0"/>
        <v>100</v>
      </c>
      <c r="H15" s="68">
        <f>IF(G15=0,"",G15/G124)</f>
        <v>0.000474473334598596</v>
      </c>
      <c r="I15" s="71"/>
      <c r="K15" s="3" t="s">
        <v>20</v>
      </c>
      <c r="M15" s="66">
        <f>G122</f>
        <v>145500</v>
      </c>
      <c r="O15" s="73"/>
    </row>
    <row r="16" spans="3:15">
      <c r="C16" s="59" t="s">
        <v>21</v>
      </c>
      <c r="D16" s="35"/>
      <c r="E16" s="66">
        <v>1</v>
      </c>
      <c r="F16" s="66">
        <v>200</v>
      </c>
      <c r="G16" s="66">
        <f t="shared" si="0"/>
        <v>200</v>
      </c>
      <c r="H16" s="68">
        <f>IF(G16=0,"",G16/G124)</f>
        <v>0.000948946669197191</v>
      </c>
      <c r="I16" s="71"/>
      <c r="K16" s="3" t="s">
        <v>22</v>
      </c>
      <c r="M16" s="66">
        <f>G123</f>
        <v>15000</v>
      </c>
      <c r="O16" s="73"/>
    </row>
    <row r="17" ht="15" spans="3:15">
      <c r="C17" s="59" t="s">
        <v>23</v>
      </c>
      <c r="D17" s="35"/>
      <c r="E17" s="66">
        <v>1</v>
      </c>
      <c r="F17" s="66">
        <v>350</v>
      </c>
      <c r="G17" s="66">
        <f t="shared" si="0"/>
        <v>350</v>
      </c>
      <c r="H17" s="68">
        <f>IF(G17=0,"",G17/G124)</f>
        <v>0.00166065667109508</v>
      </c>
      <c r="I17" s="71"/>
      <c r="K17" s="3" t="s">
        <v>24</v>
      </c>
      <c r="M17" s="56">
        <f>G124</f>
        <v>210760</v>
      </c>
      <c r="N17" s="74">
        <f>M13+M15+M16</f>
        <v>210760</v>
      </c>
      <c r="O17" s="73"/>
    </row>
    <row r="18" ht="15" spans="3:15">
      <c r="C18" s="51" t="s">
        <v>25</v>
      </c>
      <c r="D18" s="50"/>
      <c r="E18" s="51"/>
      <c r="F18" s="51"/>
      <c r="G18" s="51">
        <f>SUM(G11:G17)</f>
        <v>5050</v>
      </c>
      <c r="H18" s="70">
        <f>IF(G18=0,"",G18/G124)</f>
        <v>0.0239609033972291</v>
      </c>
      <c r="I18" s="51"/>
      <c r="K18" s="3" t="s">
        <v>26</v>
      </c>
      <c r="M18" s="57">
        <f>M17/600000</f>
        <v>0.351266666666667</v>
      </c>
      <c r="O18" s="73"/>
    </row>
    <row r="19" spans="15:15">
      <c r="O19" s="73"/>
    </row>
    <row r="20" spans="3:15">
      <c r="C20" s="60" t="s">
        <v>27</v>
      </c>
      <c r="D20" s="35"/>
      <c r="E20" s="35"/>
      <c r="F20" s="35"/>
      <c r="G20" s="35"/>
      <c r="H20" s="35"/>
      <c r="I20" s="35"/>
      <c r="K20" s="26" t="s">
        <v>28</v>
      </c>
      <c r="O20" s="73"/>
    </row>
    <row r="21" spans="11:13">
      <c r="K21" s="3" t="s">
        <v>29</v>
      </c>
      <c r="M21" s="5">
        <f>G106</f>
        <v>7825</v>
      </c>
    </row>
    <row r="22" spans="3:13">
      <c r="C22" s="60" t="s">
        <v>30</v>
      </c>
      <c r="D22" s="35"/>
      <c r="E22" s="35"/>
      <c r="F22" s="35"/>
      <c r="G22" s="35"/>
      <c r="H22" s="35"/>
      <c r="I22" s="35"/>
      <c r="K22" s="3" t="s">
        <v>31</v>
      </c>
      <c r="M22" s="5">
        <f>G118</f>
        <v>4300</v>
      </c>
    </row>
    <row r="23" ht="15" customHeight="1" spans="11:11">
      <c r="K23" s="30" t="s">
        <v>32</v>
      </c>
    </row>
    <row r="24" spans="3:9">
      <c r="C24" s="58" t="s">
        <v>33</v>
      </c>
      <c r="D24" s="35"/>
      <c r="E24" s="63" t="s">
        <v>34</v>
      </c>
      <c r="F24" s="63" t="s">
        <v>4</v>
      </c>
      <c r="G24" s="63" t="s">
        <v>5</v>
      </c>
      <c r="H24" s="6"/>
      <c r="I24" s="6"/>
    </row>
    <row r="25" spans="3:9">
      <c r="C25" s="59" t="s">
        <v>35</v>
      </c>
      <c r="D25" s="35"/>
      <c r="E25" s="66">
        <v>1</v>
      </c>
      <c r="F25" s="66">
        <v>800</v>
      </c>
      <c r="G25" s="66">
        <f>E25*F25</f>
        <v>800</v>
      </c>
      <c r="H25" s="68">
        <f>IF(G25=0,"",G25/G124)</f>
        <v>0.00379578667678876</v>
      </c>
      <c r="I25" s="71"/>
    </row>
    <row r="26" spans="3:10">
      <c r="C26" s="61" t="s">
        <v>36</v>
      </c>
      <c r="D26" s="35"/>
      <c r="E26" s="66">
        <v>1</v>
      </c>
      <c r="F26" s="66">
        <v>1000</v>
      </c>
      <c r="G26" s="66">
        <f>E26*F26</f>
        <v>1000</v>
      </c>
      <c r="H26" s="68">
        <f>IF(G26=0,"",G26/G124)</f>
        <v>0.00474473334598596</v>
      </c>
      <c r="I26" s="71"/>
      <c r="J26" t="s">
        <v>37</v>
      </c>
    </row>
    <row r="27" spans="3:9">
      <c r="C27" s="59" t="s">
        <v>38</v>
      </c>
      <c r="D27" s="35"/>
      <c r="E27" s="66">
        <v>4</v>
      </c>
      <c r="F27" s="66">
        <v>350</v>
      </c>
      <c r="G27" s="66">
        <f>E27*F27</f>
        <v>1400</v>
      </c>
      <c r="H27" s="68">
        <f>IF(G27=0,"",G27/G124)</f>
        <v>0.00664262668438034</v>
      </c>
      <c r="I27" s="71"/>
    </row>
    <row r="28" spans="3:9">
      <c r="C28" s="59" t="s">
        <v>39</v>
      </c>
      <c r="D28" s="35"/>
      <c r="E28" s="66">
        <v>1</v>
      </c>
      <c r="F28" s="66">
        <v>500</v>
      </c>
      <c r="G28" s="66">
        <f>E28*F28</f>
        <v>500</v>
      </c>
      <c r="H28" s="68">
        <f>IF(G28=0,"",G28/G124)</f>
        <v>0.00237236667299298</v>
      </c>
      <c r="I28" s="71"/>
    </row>
    <row r="29" spans="3:9">
      <c r="C29" s="62" t="s">
        <v>40</v>
      </c>
      <c r="D29" s="32"/>
      <c r="E29" s="66">
        <v>0</v>
      </c>
      <c r="F29" s="66">
        <v>0</v>
      </c>
      <c r="G29" s="66">
        <v>0</v>
      </c>
      <c r="H29" s="68"/>
      <c r="I29" s="71"/>
    </row>
    <row r="30" spans="3:9">
      <c r="C30" s="59" t="s">
        <v>41</v>
      </c>
      <c r="D30" s="35"/>
      <c r="E30" s="66">
        <v>1</v>
      </c>
      <c r="F30" s="66">
        <v>1000</v>
      </c>
      <c r="G30" s="66">
        <f>E30*F30</f>
        <v>1000</v>
      </c>
      <c r="H30" s="68">
        <f>IF(G30=0,"",G30/G124)</f>
        <v>0.00474473334598596</v>
      </c>
      <c r="I30" s="71"/>
    </row>
    <row r="31" spans="3:9">
      <c r="C31" s="59" t="s">
        <v>42</v>
      </c>
      <c r="D31" s="35"/>
      <c r="E31" s="66">
        <v>4</v>
      </c>
      <c r="F31" s="66">
        <v>35</v>
      </c>
      <c r="G31" s="66">
        <f>E31*F31</f>
        <v>140</v>
      </c>
      <c r="H31" s="68"/>
      <c r="I31" s="71"/>
    </row>
    <row r="32" ht="15" customHeight="1" spans="3:9">
      <c r="C32" s="59" t="s">
        <v>43</v>
      </c>
      <c r="D32" s="35"/>
      <c r="E32" s="66">
        <v>1</v>
      </c>
      <c r="F32" s="66">
        <v>800</v>
      </c>
      <c r="G32" s="66">
        <f>E32*F32</f>
        <v>800</v>
      </c>
      <c r="H32" s="68">
        <f>IF(G32=0,"",G32/G124)</f>
        <v>0.00379578667678876</v>
      </c>
      <c r="I32" s="71"/>
    </row>
    <row r="33" ht="15" customHeight="1" spans="3:9">
      <c r="C33" s="51" t="s">
        <v>44</v>
      </c>
      <c r="D33" s="50"/>
      <c r="E33" s="51"/>
      <c r="F33" s="51"/>
      <c r="G33" s="51">
        <f>SUM(G25:G32)</f>
        <v>5640</v>
      </c>
      <c r="H33" s="70">
        <f>IF(G33=0,"",G33/G124)</f>
        <v>0.0267602960713608</v>
      </c>
      <c r="I33" s="51"/>
    </row>
    <row r="35" spans="3:4">
      <c r="C35" s="58" t="s">
        <v>45</v>
      </c>
      <c r="D35" s="35"/>
    </row>
    <row r="36" spans="3:8">
      <c r="C36" s="60" t="s">
        <v>46</v>
      </c>
      <c r="D36" s="35"/>
      <c r="E36" s="5">
        <v>3</v>
      </c>
      <c r="F36" s="5">
        <v>400</v>
      </c>
      <c r="G36" s="5">
        <f>E36*F36</f>
        <v>1200</v>
      </c>
      <c r="H36" s="4">
        <f>IF(G36=0,"",G36/G124)</f>
        <v>0.00569368001518315</v>
      </c>
    </row>
    <row r="37" spans="3:8">
      <c r="C37" s="60" t="s">
        <v>47</v>
      </c>
      <c r="D37" s="35"/>
      <c r="E37" s="5">
        <v>1</v>
      </c>
      <c r="F37" s="5">
        <v>600</v>
      </c>
      <c r="G37" s="5">
        <f>E37*F37</f>
        <v>600</v>
      </c>
      <c r="H37" s="4">
        <f>IF(G37=0,"",G37/G124)</f>
        <v>0.00284684000759157</v>
      </c>
    </row>
    <row r="38" ht="15" customHeight="1" spans="3:8">
      <c r="C38" s="60" t="s">
        <v>48</v>
      </c>
      <c r="D38" s="35"/>
      <c r="E38" s="5">
        <v>1</v>
      </c>
      <c r="F38" s="5">
        <v>450</v>
      </c>
      <c r="G38" s="5">
        <f>E38*F38</f>
        <v>450</v>
      </c>
      <c r="H38" s="4">
        <f>IF(G38=0,"",G38/G124)</f>
        <v>0.00213513000569368</v>
      </c>
    </row>
    <row r="39" ht="15" customHeight="1" spans="3:9">
      <c r="C39" s="51" t="s">
        <v>49</v>
      </c>
      <c r="D39" s="50"/>
      <c r="E39" s="51"/>
      <c r="F39" s="51"/>
      <c r="G39" s="51">
        <f>SUM(G36:G38)</f>
        <v>2250</v>
      </c>
      <c r="H39" s="70">
        <f>IF(G39=0,"",G39/G124)</f>
        <v>0.0106756500284684</v>
      </c>
      <c r="I39" s="51"/>
    </row>
    <row r="41" spans="3:4">
      <c r="C41" s="58" t="s">
        <v>50</v>
      </c>
      <c r="D41" s="35"/>
    </row>
    <row r="42" spans="3:9">
      <c r="C42" s="60" t="s">
        <v>51</v>
      </c>
      <c r="D42" s="35"/>
      <c r="E42" s="35"/>
      <c r="F42" s="35"/>
      <c r="G42" s="35"/>
      <c r="H42" s="35"/>
      <c r="I42" s="35"/>
    </row>
    <row r="44" spans="3:8">
      <c r="C44" s="60" t="s">
        <v>52</v>
      </c>
      <c r="D44" s="35"/>
      <c r="E44" s="5">
        <v>3</v>
      </c>
      <c r="F44" s="5">
        <v>1000</v>
      </c>
      <c r="G44" s="5">
        <v>3000</v>
      </c>
      <c r="H44" s="4">
        <f>IF(G44=0,"",G44/G124)</f>
        <v>0.0142342000379579</v>
      </c>
    </row>
    <row r="45" spans="3:8">
      <c r="C45" s="60" t="s">
        <v>53</v>
      </c>
      <c r="D45" s="35"/>
      <c r="E45" s="5">
        <v>3</v>
      </c>
      <c r="F45" s="5">
        <v>1000</v>
      </c>
      <c r="G45" s="5">
        <v>3000</v>
      </c>
      <c r="H45" s="4"/>
    </row>
    <row r="46" spans="3:8">
      <c r="C46" s="60" t="s">
        <v>54</v>
      </c>
      <c r="D46" s="35"/>
      <c r="E46" s="5">
        <v>3</v>
      </c>
      <c r="F46" s="5">
        <v>1000</v>
      </c>
      <c r="G46" s="5">
        <v>3000</v>
      </c>
      <c r="H46" s="4">
        <f>IF(G46=0,"",G46/G124)</f>
        <v>0.0142342000379579</v>
      </c>
    </row>
    <row r="47" spans="3:8">
      <c r="C47" s="60" t="s">
        <v>55</v>
      </c>
      <c r="D47" s="35"/>
      <c r="E47" s="5">
        <v>3</v>
      </c>
      <c r="F47" s="5">
        <v>1000</v>
      </c>
      <c r="G47" s="5">
        <v>3000</v>
      </c>
      <c r="H47" s="4">
        <f>IF(G47=0,"",G47/G124)</f>
        <v>0.0142342000379579</v>
      </c>
    </row>
    <row r="48" spans="3:8">
      <c r="C48" s="60" t="s">
        <v>56</v>
      </c>
      <c r="D48" s="35"/>
      <c r="E48" s="5">
        <v>3</v>
      </c>
      <c r="F48" s="5">
        <v>1400</v>
      </c>
      <c r="G48" s="5">
        <v>4200</v>
      </c>
      <c r="H48" s="4">
        <f>IF(G48=0,"",G48/G124)</f>
        <v>0.019927880053141</v>
      </c>
    </row>
    <row r="49" spans="3:8">
      <c r="C49" s="60" t="s">
        <v>57</v>
      </c>
      <c r="D49" s="35"/>
      <c r="E49" s="5">
        <v>3</v>
      </c>
      <c r="F49" s="5">
        <v>500</v>
      </c>
      <c r="G49" s="5">
        <v>1500</v>
      </c>
      <c r="H49" s="4">
        <f>IF(G49=0,"",G49/G124)</f>
        <v>0.00711710001897893</v>
      </c>
    </row>
    <row r="50" spans="3:8">
      <c r="C50" s="60" t="s">
        <v>58</v>
      </c>
      <c r="D50" s="35"/>
      <c r="E50" s="5">
        <v>3</v>
      </c>
      <c r="F50" s="5">
        <v>425</v>
      </c>
      <c r="G50" s="5">
        <v>1275</v>
      </c>
      <c r="H50" s="4">
        <f>IF(G50=0,"",G50/G124)</f>
        <v>0.00604953501613209</v>
      </c>
    </row>
    <row r="51" ht="15" spans="3:8">
      <c r="C51" s="60" t="s">
        <v>59</v>
      </c>
      <c r="D51" s="35"/>
      <c r="E51" s="5">
        <v>3</v>
      </c>
      <c r="F51" s="5">
        <v>800</v>
      </c>
      <c r="G51" s="5">
        <v>2400</v>
      </c>
      <c r="H51" s="4">
        <f>IF(G51=0,"",G51/G124)</f>
        <v>0.0113873600303663</v>
      </c>
    </row>
    <row r="52" ht="15" spans="3:11">
      <c r="C52" s="51" t="s">
        <v>60</v>
      </c>
      <c r="D52" s="50"/>
      <c r="E52" s="51"/>
      <c r="F52" s="51"/>
      <c r="G52" s="51">
        <f>SUM(G44:G51)</f>
        <v>21375</v>
      </c>
      <c r="H52" s="70">
        <f>IF(G52=0,"",G52/G124)</f>
        <v>0.10141867527045</v>
      </c>
      <c r="I52" s="51"/>
      <c r="K52">
        <f>G52/3</f>
        <v>7125</v>
      </c>
    </row>
    <row r="54" spans="3:4">
      <c r="C54" s="58" t="s">
        <v>61</v>
      </c>
      <c r="D54" s="35"/>
    </row>
    <row r="55" spans="3:9">
      <c r="C55" s="60"/>
      <c r="D55" s="35"/>
      <c r="E55" s="35"/>
      <c r="F55" s="35"/>
      <c r="G55" s="35"/>
      <c r="H55" s="35"/>
      <c r="I55" s="35"/>
    </row>
    <row r="57" spans="3:8">
      <c r="C57" s="60" t="s">
        <v>62</v>
      </c>
      <c r="D57" s="35"/>
      <c r="E57" s="5">
        <v>5</v>
      </c>
      <c r="F57" s="5">
        <v>200</v>
      </c>
      <c r="G57" s="5">
        <f>E57*F57</f>
        <v>1000</v>
      </c>
      <c r="H57" s="4">
        <f>IF(G57=0,"",G57/G124)</f>
        <v>0.00474473334598596</v>
      </c>
    </row>
    <row r="58" spans="3:8">
      <c r="C58" s="60" t="s">
        <v>63</v>
      </c>
      <c r="D58" s="35"/>
      <c r="E58" s="5">
        <v>0</v>
      </c>
      <c r="F58" s="5">
        <v>0</v>
      </c>
      <c r="G58" s="5">
        <v>0</v>
      </c>
      <c r="H58" s="4" t="str">
        <f>IF(G58=0,"",G58/G124)</f>
        <v/>
      </c>
    </row>
    <row r="59" spans="3:8">
      <c r="C59" s="60" t="s">
        <v>64</v>
      </c>
      <c r="D59" s="35"/>
      <c r="E59" s="5">
        <v>1</v>
      </c>
      <c r="F59" s="5">
        <v>2500</v>
      </c>
      <c r="G59" s="5">
        <f>E59*F59</f>
        <v>2500</v>
      </c>
      <c r="H59" s="4"/>
    </row>
    <row r="60" spans="3:8">
      <c r="C60" s="60" t="s">
        <v>65</v>
      </c>
      <c r="D60" s="35"/>
      <c r="E60" s="5">
        <v>12</v>
      </c>
      <c r="F60" s="5">
        <v>35</v>
      </c>
      <c r="G60" s="5">
        <f>E60*F60</f>
        <v>420</v>
      </c>
      <c r="H60" s="4"/>
    </row>
    <row r="61" ht="15" customHeight="1" spans="3:8">
      <c r="C61" s="60" t="s">
        <v>66</v>
      </c>
      <c r="D61" s="35"/>
      <c r="E61" s="5">
        <v>1</v>
      </c>
      <c r="F61" s="5">
        <v>350</v>
      </c>
      <c r="G61" s="5">
        <f>E61*F61</f>
        <v>350</v>
      </c>
      <c r="H61" s="4">
        <f>IF(G61=0,"",G61/G124)</f>
        <v>0.00166065667109508</v>
      </c>
    </row>
    <row r="62" ht="15" customHeight="1" spans="3:9">
      <c r="C62" s="51" t="s">
        <v>67</v>
      </c>
      <c r="D62" s="50"/>
      <c r="E62" s="51"/>
      <c r="F62" s="51"/>
      <c r="G62" s="51">
        <f>SUM(G57:G61)</f>
        <v>4270</v>
      </c>
      <c r="H62" s="70">
        <f>IF(G62=0,"",G62/G124)</f>
        <v>0.02026001138736</v>
      </c>
      <c r="I62" s="51"/>
    </row>
    <row r="64" spans="3:11">
      <c r="C64" s="58" t="s">
        <v>68</v>
      </c>
      <c r="D64" s="35"/>
      <c r="E64" s="63" t="s">
        <v>69</v>
      </c>
      <c r="F64" s="63" t="s">
        <v>4</v>
      </c>
      <c r="G64" s="63" t="s">
        <v>5</v>
      </c>
      <c r="K64" t="s">
        <v>70</v>
      </c>
    </row>
    <row r="65" spans="3:11">
      <c r="C65" s="59" t="s">
        <v>71</v>
      </c>
      <c r="D65" s="35"/>
      <c r="E65" s="66">
        <v>1</v>
      </c>
      <c r="F65" s="66">
        <v>2250</v>
      </c>
      <c r="G65" s="66">
        <f>E65*F65</f>
        <v>2250</v>
      </c>
      <c r="H65" s="4">
        <f>IF(G65=0,"",G65/G124)</f>
        <v>0.0106756500284684</v>
      </c>
      <c r="K65">
        <f>K52+F78+(G39/3)</f>
        <v>8625</v>
      </c>
    </row>
    <row r="66" spans="3:8">
      <c r="C66" s="59" t="s">
        <v>72</v>
      </c>
      <c r="D66" s="35"/>
      <c r="E66" s="66">
        <v>1</v>
      </c>
      <c r="F66" s="66">
        <v>1000</v>
      </c>
      <c r="G66" s="66">
        <f t="shared" ref="G66:G78" si="1">E66*F66</f>
        <v>1000</v>
      </c>
      <c r="H66" s="4">
        <f>IF(G66=0,"",G66/G124)</f>
        <v>0.00474473334598596</v>
      </c>
    </row>
    <row r="67" spans="3:8">
      <c r="C67" s="59" t="s">
        <v>73</v>
      </c>
      <c r="D67" s="35"/>
      <c r="E67" s="66">
        <v>1</v>
      </c>
      <c r="F67" s="66">
        <v>800</v>
      </c>
      <c r="G67" s="66">
        <f t="shared" si="1"/>
        <v>800</v>
      </c>
      <c r="H67" s="4">
        <f>IF(G67=0,"",G67/G124)</f>
        <v>0.00379578667678876</v>
      </c>
    </row>
    <row r="68" spans="3:8">
      <c r="C68" s="59" t="s">
        <v>74</v>
      </c>
      <c r="D68" s="35"/>
      <c r="E68" s="66">
        <v>1</v>
      </c>
      <c r="F68" s="66">
        <v>850</v>
      </c>
      <c r="G68" s="66">
        <f t="shared" si="1"/>
        <v>850</v>
      </c>
      <c r="H68" s="4">
        <f>IF(G68=0,"",G68/G124)</f>
        <v>0.00403302334408806</v>
      </c>
    </row>
    <row r="69" spans="3:8">
      <c r="C69" s="59" t="s">
        <v>75</v>
      </c>
      <c r="D69" s="35"/>
      <c r="E69" s="66">
        <v>2</v>
      </c>
      <c r="F69" s="66">
        <v>950</v>
      </c>
      <c r="G69" s="66">
        <f t="shared" si="1"/>
        <v>1900</v>
      </c>
      <c r="H69" s="4">
        <f>IF(G69=0,"",G69/G124)</f>
        <v>0.00901499335737332</v>
      </c>
    </row>
    <row r="70" spans="3:8">
      <c r="C70" s="59" t="s">
        <v>76</v>
      </c>
      <c r="D70" s="35"/>
      <c r="E70" s="66">
        <v>1</v>
      </c>
      <c r="F70" s="66">
        <v>1100</v>
      </c>
      <c r="G70" s="66">
        <f t="shared" si="1"/>
        <v>1100</v>
      </c>
      <c r="H70" s="4">
        <f>IF(G70=0,"",G70/G124)</f>
        <v>0.00521920668058455</v>
      </c>
    </row>
    <row r="71" spans="3:8">
      <c r="C71" s="59" t="s">
        <v>77</v>
      </c>
      <c r="D71" s="35"/>
      <c r="E71" s="81">
        <v>1</v>
      </c>
      <c r="F71" s="81">
        <v>75</v>
      </c>
      <c r="G71" s="81">
        <f t="shared" si="1"/>
        <v>75</v>
      </c>
      <c r="H71" s="82"/>
    </row>
    <row r="72" spans="3:8">
      <c r="C72" s="59" t="s">
        <v>78</v>
      </c>
      <c r="D72" s="35"/>
      <c r="E72" s="81">
        <v>1</v>
      </c>
      <c r="F72" s="81">
        <v>125</v>
      </c>
      <c r="G72" s="81">
        <f t="shared" si="1"/>
        <v>125</v>
      </c>
      <c r="H72" s="82"/>
    </row>
    <row r="73" spans="3:8">
      <c r="C73" s="59" t="s">
        <v>79</v>
      </c>
      <c r="D73" s="35"/>
      <c r="E73" s="81">
        <v>1</v>
      </c>
      <c r="F73" s="81">
        <v>75</v>
      </c>
      <c r="G73" s="81">
        <f t="shared" si="1"/>
        <v>75</v>
      </c>
      <c r="H73" s="82"/>
    </row>
    <row r="74" spans="3:8">
      <c r="C74" s="59" t="s">
        <v>80</v>
      </c>
      <c r="D74" s="35"/>
      <c r="E74" s="81">
        <v>1</v>
      </c>
      <c r="F74" s="81">
        <v>50</v>
      </c>
      <c r="G74" s="81">
        <f t="shared" si="1"/>
        <v>50</v>
      </c>
      <c r="H74" s="82"/>
    </row>
    <row r="75" spans="3:8">
      <c r="C75" s="75" t="s">
        <v>81</v>
      </c>
      <c r="D75" s="35"/>
      <c r="E75" s="81">
        <v>1</v>
      </c>
      <c r="F75" s="81">
        <v>650</v>
      </c>
      <c r="G75" s="81">
        <f t="shared" si="1"/>
        <v>650</v>
      </c>
      <c r="H75" s="82"/>
    </row>
    <row r="76" spans="3:8">
      <c r="C76" s="75" t="s">
        <v>82</v>
      </c>
      <c r="D76" s="35"/>
      <c r="E76" s="81">
        <v>4</v>
      </c>
      <c r="F76" s="81">
        <v>50</v>
      </c>
      <c r="G76" s="81">
        <f t="shared" si="1"/>
        <v>200</v>
      </c>
      <c r="H76" s="82"/>
    </row>
    <row r="77" spans="3:8">
      <c r="C77" s="75" t="s">
        <v>83</v>
      </c>
      <c r="D77" s="35"/>
      <c r="E77" s="81">
        <v>1</v>
      </c>
      <c r="F77" s="81">
        <v>350</v>
      </c>
      <c r="G77" s="81">
        <f t="shared" si="1"/>
        <v>350</v>
      </c>
      <c r="H77" s="82"/>
    </row>
    <row r="78" spans="3:8">
      <c r="C78" s="76" t="s">
        <v>84</v>
      </c>
      <c r="D78" s="77"/>
      <c r="E78" s="81">
        <v>3</v>
      </c>
      <c r="F78" s="81">
        <v>750</v>
      </c>
      <c r="G78" s="81">
        <f t="shared" si="1"/>
        <v>2250</v>
      </c>
      <c r="H78" s="82"/>
    </row>
    <row r="79" spans="3:8">
      <c r="C79" s="78"/>
      <c r="E79" s="81"/>
      <c r="F79" s="81"/>
      <c r="G79" s="81"/>
      <c r="H79" s="82"/>
    </row>
    <row r="80" ht="15" customHeight="1" spans="3:7">
      <c r="C80" s="79"/>
      <c r="D80" s="80"/>
      <c r="E80" s="71"/>
      <c r="F80" s="71"/>
      <c r="G80" s="71"/>
    </row>
    <row r="81" ht="15" customHeight="1" spans="3:9">
      <c r="C81" s="51" t="s">
        <v>85</v>
      </c>
      <c r="D81" s="50"/>
      <c r="E81" s="51"/>
      <c r="F81" s="51"/>
      <c r="G81" s="51">
        <f>SUM(G65:G78)</f>
        <v>11675</v>
      </c>
      <c r="H81" s="70">
        <f>IF(G81=0,"",G81/G124)</f>
        <v>0.055394761814386</v>
      </c>
      <c r="I81" s="51"/>
    </row>
    <row r="83" spans="3:12">
      <c r="C83" s="58" t="s">
        <v>86</v>
      </c>
      <c r="D83" s="35"/>
      <c r="J83" t="s">
        <v>87</v>
      </c>
      <c r="K83" t="s">
        <v>88</v>
      </c>
      <c r="L83" t="s">
        <v>89</v>
      </c>
    </row>
    <row r="84" spans="3:12">
      <c r="C84" s="60" t="s">
        <v>90</v>
      </c>
      <c r="D84" s="35"/>
      <c r="E84" s="5">
        <v>1</v>
      </c>
      <c r="F84" s="5">
        <v>33010</v>
      </c>
      <c r="G84" s="5">
        <f>E84*F84</f>
        <v>33010</v>
      </c>
      <c r="H84" s="4">
        <f>IF(G84=0,"",G84/G124)</f>
        <v>0.156623647750996</v>
      </c>
      <c r="J84" s="73">
        <f>G81+G33+G18</f>
        <v>22365</v>
      </c>
      <c r="K84" s="73">
        <f>J84-G78</f>
        <v>20115</v>
      </c>
      <c r="L84" s="73">
        <f>K84+K65+G62</f>
        <v>33010</v>
      </c>
    </row>
    <row r="85" spans="3:8">
      <c r="C85" s="60" t="s">
        <v>91</v>
      </c>
      <c r="D85" s="35"/>
      <c r="E85" s="5">
        <v>1</v>
      </c>
      <c r="F85" s="5">
        <v>8625</v>
      </c>
      <c r="G85" s="5">
        <f>E85*F85</f>
        <v>8625</v>
      </c>
      <c r="H85" s="4">
        <f>IF(G85=0,"",G85/G124)</f>
        <v>0.0409233251091289</v>
      </c>
    </row>
    <row r="86" ht="15" customHeight="1" spans="3:8">
      <c r="C86" s="60" t="s">
        <v>92</v>
      </c>
      <c r="D86" s="35"/>
      <c r="E86" s="5">
        <v>1</v>
      </c>
      <c r="F86" s="5">
        <v>8625</v>
      </c>
      <c r="G86" s="5">
        <f>E86*F86</f>
        <v>8625</v>
      </c>
      <c r="H86" s="4">
        <f>IF(G86=0,"",G86/G124)</f>
        <v>0.0409233251091289</v>
      </c>
    </row>
    <row r="87" ht="15" customHeight="1" spans="3:9">
      <c r="C87" s="51" t="s">
        <v>93</v>
      </c>
      <c r="D87" s="50"/>
      <c r="E87" s="51"/>
      <c r="F87" s="51"/>
      <c r="G87" s="51">
        <f>SUM(G84:G86)</f>
        <v>50260</v>
      </c>
      <c r="H87" s="70">
        <f>IF(G87=0,"",G87/G124)</f>
        <v>0.238470297969254</v>
      </c>
      <c r="I87" s="51"/>
    </row>
    <row r="89" spans="3:8">
      <c r="C89" s="46" t="s">
        <v>94</v>
      </c>
      <c r="G89" s="5">
        <f>G124-G87</f>
        <v>160500</v>
      </c>
      <c r="H89" s="4">
        <f>IF(G89=0,"",G89/G124)</f>
        <v>0.761529702030746</v>
      </c>
    </row>
    <row r="91" spans="3:11">
      <c r="C91" s="46" t="s">
        <v>95</v>
      </c>
      <c r="G91" s="5">
        <f>G18+G33+G81</f>
        <v>22365</v>
      </c>
      <c r="H91" s="4">
        <f>IF(G91=0,"",G91/G124)</f>
        <v>0.106115961282976</v>
      </c>
      <c r="K91">
        <f>G81+G33+G18</f>
        <v>22365</v>
      </c>
    </row>
    <row r="93" spans="3:9">
      <c r="C93" s="46" t="s">
        <v>96</v>
      </c>
      <c r="G93" s="5">
        <f>G87-(G91+G52+G39+G62)</f>
        <v>0</v>
      </c>
      <c r="H93" s="4" t="str">
        <f>IF(G93=0,"",G93/G124)</f>
        <v/>
      </c>
      <c r="I93" s="3" t="s">
        <v>97</v>
      </c>
    </row>
    <row r="95" spans="3:4">
      <c r="C95" s="58" t="s">
        <v>98</v>
      </c>
      <c r="D95" s="35"/>
    </row>
    <row r="96" spans="3:9">
      <c r="C96" s="60" t="s">
        <v>99</v>
      </c>
      <c r="D96" s="35"/>
      <c r="E96" s="35"/>
      <c r="F96" s="35"/>
      <c r="G96" s="35"/>
      <c r="H96" s="35"/>
      <c r="I96" s="35"/>
    </row>
    <row r="98" spans="3:9">
      <c r="C98" s="3" t="s">
        <v>100</v>
      </c>
      <c r="F98" s="5">
        <v>1000</v>
      </c>
      <c r="H98" s="3" t="s">
        <v>101</v>
      </c>
      <c r="I98" s="3" t="s">
        <v>102</v>
      </c>
    </row>
    <row r="99" spans="3:9">
      <c r="C99" s="3" t="s">
        <v>103</v>
      </c>
      <c r="F99" s="5">
        <v>1000</v>
      </c>
      <c r="H99" s="3" t="s">
        <v>101</v>
      </c>
      <c r="I99" s="3" t="s">
        <v>102</v>
      </c>
    </row>
    <row r="100" spans="3:9">
      <c r="C100" s="3" t="s">
        <v>104</v>
      </c>
      <c r="F100" s="5">
        <v>1000</v>
      </c>
      <c r="H100" s="3" t="s">
        <v>101</v>
      </c>
      <c r="I100" s="3" t="s">
        <v>102</v>
      </c>
    </row>
    <row r="101" spans="3:9">
      <c r="C101" s="3" t="s">
        <v>105</v>
      </c>
      <c r="F101" s="5">
        <v>1000</v>
      </c>
      <c r="H101" s="3" t="s">
        <v>101</v>
      </c>
      <c r="I101" s="3" t="s">
        <v>102</v>
      </c>
    </row>
    <row r="102" spans="3:11">
      <c r="C102" s="3" t="s">
        <v>106</v>
      </c>
      <c r="F102" s="5">
        <v>2100</v>
      </c>
      <c r="H102" s="3" t="s">
        <v>101</v>
      </c>
      <c r="I102" s="3" t="s">
        <v>102</v>
      </c>
      <c r="K102">
        <f>350*6</f>
        <v>2100</v>
      </c>
    </row>
    <row r="103" spans="3:9">
      <c r="C103" s="3" t="s">
        <v>107</v>
      </c>
      <c r="F103" s="5">
        <v>500</v>
      </c>
      <c r="H103" s="3" t="s">
        <v>101</v>
      </c>
      <c r="I103" s="3" t="s">
        <v>102</v>
      </c>
    </row>
    <row r="104" spans="3:9">
      <c r="C104" s="3" t="s">
        <v>108</v>
      </c>
      <c r="F104" s="5">
        <v>425</v>
      </c>
      <c r="H104" s="3" t="s">
        <v>101</v>
      </c>
      <c r="I104" s="3" t="s">
        <v>102</v>
      </c>
    </row>
    <row r="105" spans="3:8">
      <c r="C105" s="46" t="s">
        <v>109</v>
      </c>
      <c r="F105">
        <v>800</v>
      </c>
      <c r="G105" s="5"/>
      <c r="H105" s="4" t="str">
        <f>IF(G105=0,"",G105/G124)</f>
        <v/>
      </c>
    </row>
    <row r="106" spans="3:7">
      <c r="C106" t="s">
        <v>110</v>
      </c>
      <c r="G106" s="83">
        <f>SUM(F98:F105)</f>
        <v>7825</v>
      </c>
    </row>
    <row r="107" spans="3:4">
      <c r="C107" s="58" t="s">
        <v>111</v>
      </c>
      <c r="D107" s="35"/>
    </row>
    <row r="108" spans="3:9">
      <c r="C108" s="60" t="s">
        <v>112</v>
      </c>
      <c r="D108" s="35"/>
      <c r="E108" s="35"/>
      <c r="F108" s="35"/>
      <c r="G108" s="35"/>
      <c r="H108" s="35"/>
      <c r="I108" s="35"/>
    </row>
    <row r="110" spans="3:9">
      <c r="C110" s="3" t="s">
        <v>113</v>
      </c>
      <c r="F110" s="5">
        <v>750</v>
      </c>
      <c r="G110" s="5">
        <f>F110</f>
        <v>750</v>
      </c>
      <c r="H110" s="4">
        <f>IF(G110=0,"",G110/G124)</f>
        <v>0.00355855000948947</v>
      </c>
      <c r="I110" s="3" t="s">
        <v>114</v>
      </c>
    </row>
    <row r="111" spans="3:9">
      <c r="C111" s="3" t="s">
        <v>115</v>
      </c>
      <c r="F111" s="5">
        <v>200</v>
      </c>
      <c r="G111" s="5">
        <f>F111</f>
        <v>200</v>
      </c>
      <c r="H111" s="4">
        <f>IF(G111=0,"",G111/G124)</f>
        <v>0.000948946669197191</v>
      </c>
      <c r="I111" s="3" t="s">
        <v>116</v>
      </c>
    </row>
    <row r="112" spans="3:9">
      <c r="C112" s="3" t="s">
        <v>117</v>
      </c>
      <c r="F112" s="5">
        <v>200</v>
      </c>
      <c r="G112" s="5">
        <f>F112</f>
        <v>200</v>
      </c>
      <c r="H112" s="4">
        <f>IF(G112=0,"",G112/G124)</f>
        <v>0.000948946669197191</v>
      </c>
      <c r="I112" s="3" t="s">
        <v>118</v>
      </c>
    </row>
    <row r="113" spans="3:9">
      <c r="C113" s="47" t="s">
        <v>119</v>
      </c>
      <c r="I113" s="47" t="s">
        <v>120</v>
      </c>
    </row>
    <row r="114" spans="3:12">
      <c r="C114" s="47" t="s">
        <v>121</v>
      </c>
      <c r="I114" s="47" t="s">
        <v>122</v>
      </c>
      <c r="L114">
        <f>(G106+G118)*12</f>
        <v>145500</v>
      </c>
    </row>
    <row r="115" spans="3:9">
      <c r="C115" s="3" t="s">
        <v>123</v>
      </c>
      <c r="F115" s="5">
        <v>650</v>
      </c>
      <c r="G115" s="5">
        <f>F115</f>
        <v>650</v>
      </c>
      <c r="H115" s="4">
        <f>IF(G115=0,"",G115/G124)</f>
        <v>0.00308407667489087</v>
      </c>
      <c r="I115" s="3" t="s">
        <v>124</v>
      </c>
    </row>
    <row r="116" spans="3:9">
      <c r="C116" s="3" t="s">
        <v>125</v>
      </c>
      <c r="F116" s="5">
        <v>1500</v>
      </c>
      <c r="G116" s="5">
        <f>F116</f>
        <v>1500</v>
      </c>
      <c r="H116" s="4">
        <f>IF(G116=0,"",G116/G124)</f>
        <v>0.00711710001897893</v>
      </c>
      <c r="I116" s="3" t="s">
        <v>126</v>
      </c>
    </row>
    <row r="117" spans="3:9">
      <c r="C117" s="3" t="s">
        <v>127</v>
      </c>
      <c r="F117" s="5">
        <v>1000</v>
      </c>
      <c r="G117" s="5">
        <f>F117</f>
        <v>1000</v>
      </c>
      <c r="H117" s="4">
        <f>IF(G117=0,"",G117/G124)</f>
        <v>0.00474473334598596</v>
      </c>
      <c r="I117" s="3" t="s">
        <v>128</v>
      </c>
    </row>
    <row r="118" spans="3:8">
      <c r="C118" s="46" t="s">
        <v>129</v>
      </c>
      <c r="G118" s="84">
        <f>SUM(F110:F117)</f>
        <v>4300</v>
      </c>
      <c r="H118" s="4">
        <f>IF(G118=0,"",G118/G124)</f>
        <v>0.0204023533877396</v>
      </c>
    </row>
    <row r="119" spans="3:9">
      <c r="C119" s="45" t="s">
        <v>130</v>
      </c>
      <c r="F119" s="5">
        <v>617</v>
      </c>
      <c r="H119" s="3" t="s">
        <v>101</v>
      </c>
      <c r="I119" s="3" t="s">
        <v>131</v>
      </c>
    </row>
    <row r="121" spans="3:3">
      <c r="C121" s="46" t="s">
        <v>132</v>
      </c>
    </row>
    <row r="122" spans="3:10">
      <c r="C122" s="3" t="s">
        <v>133</v>
      </c>
      <c r="G122" s="5">
        <f>(G106+G118)*12</f>
        <v>145500</v>
      </c>
      <c r="H122" s="4">
        <f>IF(G122=0,"",G122/G124)</f>
        <v>0.690358701840956</v>
      </c>
      <c r="J122">
        <f>G122/12</f>
        <v>12125</v>
      </c>
    </row>
    <row r="123" spans="3:8">
      <c r="C123" s="3" t="s">
        <v>134</v>
      </c>
      <c r="G123" s="5">
        <v>15000</v>
      </c>
      <c r="H123" s="4">
        <f>IF(G123=0,"",G123/G124)</f>
        <v>0.0711710001897893</v>
      </c>
    </row>
    <row r="124" spans="3:8">
      <c r="C124" s="46" t="s">
        <v>135</v>
      </c>
      <c r="G124" s="5">
        <f>G87+G122+G123</f>
        <v>210760</v>
      </c>
      <c r="H124" s="4">
        <f>IF(G124=0,"",G124/G124)</f>
        <v>1</v>
      </c>
    </row>
  </sheetData>
  <mergeCells count="75">
    <mergeCell ref="C4:I4"/>
    <mergeCell ref="C10:D10"/>
    <mergeCell ref="K10:M10"/>
    <mergeCell ref="C11:D11"/>
    <mergeCell ref="C12:D12"/>
    <mergeCell ref="C13:D13"/>
    <mergeCell ref="C14:D14"/>
    <mergeCell ref="C15:D15"/>
    <mergeCell ref="C16:D16"/>
    <mergeCell ref="C17:D17"/>
    <mergeCell ref="C18:D18"/>
    <mergeCell ref="C20:I20"/>
    <mergeCell ref="C22:I22"/>
    <mergeCell ref="K23:M23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35:D35"/>
    <mergeCell ref="C36:D36"/>
    <mergeCell ref="C37:D37"/>
    <mergeCell ref="C38:D38"/>
    <mergeCell ref="C39:D39"/>
    <mergeCell ref="C41:D41"/>
    <mergeCell ref="C42:I42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4:D54"/>
    <mergeCell ref="C55:I55"/>
    <mergeCell ref="C57:D57"/>
    <mergeCell ref="C58:D58"/>
    <mergeCell ref="C59:D59"/>
    <mergeCell ref="C60:D60"/>
    <mergeCell ref="C61:D61"/>
    <mergeCell ref="C62:D62"/>
    <mergeCell ref="C64:D64"/>
    <mergeCell ref="C65:D65"/>
    <mergeCell ref="C66:D66"/>
    <mergeCell ref="C67:D67"/>
    <mergeCell ref="C68:D68"/>
    <mergeCell ref="C69:D69"/>
    <mergeCell ref="C70:D70"/>
    <mergeCell ref="C71:D71"/>
    <mergeCell ref="C72:D72"/>
    <mergeCell ref="C73:D73"/>
    <mergeCell ref="C74:D74"/>
    <mergeCell ref="C75:D75"/>
    <mergeCell ref="C76:D76"/>
    <mergeCell ref="C77:D77"/>
    <mergeCell ref="C78:D78"/>
    <mergeCell ref="C79:D79"/>
    <mergeCell ref="C80:D80"/>
    <mergeCell ref="C81:D81"/>
    <mergeCell ref="C83:D83"/>
    <mergeCell ref="C84:D84"/>
    <mergeCell ref="C85:D85"/>
    <mergeCell ref="C86:D86"/>
    <mergeCell ref="C87:D87"/>
    <mergeCell ref="C95:D95"/>
    <mergeCell ref="C96:I96"/>
    <mergeCell ref="C107:D107"/>
    <mergeCell ref="C108:I108"/>
  </mergeCells>
  <pageMargins left="0.75" right="0.75" top="1" bottom="1" header="0.511811023622047" footer="0.511811023622047"/>
  <pageSetup paperSize="1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N75"/>
  <sheetViews>
    <sheetView zoomScale="95" zoomScaleNormal="95" topLeftCell="B1" workbookViewId="0">
      <selection activeCell="M24" sqref="M24"/>
    </sheetView>
  </sheetViews>
  <sheetFormatPr defaultColWidth="8.66666666666667" defaultRowHeight="14.25"/>
  <cols>
    <col min="1" max="1" width="13" customWidth="1"/>
    <col min="2" max="2" width="11.3333333333333" customWidth="1"/>
    <col min="5" max="5" width="52.8833333333333" customWidth="1"/>
    <col min="6" max="6" width="13" customWidth="1"/>
    <col min="7" max="7" width="17.1083333333333" customWidth="1"/>
    <col min="8" max="8" width="17.5583333333333" customWidth="1"/>
    <col min="9" max="9" width="15.5583333333333" customWidth="1"/>
    <col min="11" max="11" width="28" customWidth="1"/>
    <col min="12" max="12" width="15.5583333333333" customWidth="1"/>
    <col min="13" max="13" width="14" customWidth="1"/>
    <col min="14" max="14" width="29.1083333333333" customWidth="1"/>
  </cols>
  <sheetData>
    <row r="7" ht="24.6" customHeight="1" spans="5:5">
      <c r="E7" s="31" t="s">
        <v>136</v>
      </c>
    </row>
    <row r="9" spans="5:11">
      <c r="E9" s="26" t="s">
        <v>137</v>
      </c>
      <c r="F9" s="35"/>
      <c r="G9" s="35"/>
      <c r="H9" s="35"/>
      <c r="I9" s="32"/>
      <c r="K9" s="55" t="s">
        <v>138</v>
      </c>
    </row>
    <row r="10" spans="5:13">
      <c r="E10" s="6" t="s">
        <v>139</v>
      </c>
      <c r="G10" s="6" t="s">
        <v>140</v>
      </c>
      <c r="H10" s="6" t="s">
        <v>141</v>
      </c>
      <c r="K10" s="3" t="s">
        <v>11</v>
      </c>
      <c r="M10" s="5">
        <f>'Detallado de la inversión.'!G91</f>
        <v>22365</v>
      </c>
    </row>
    <row r="11" spans="5:13">
      <c r="E11" s="3" t="s">
        <v>16</v>
      </c>
      <c r="G11" s="5">
        <f>'Detallado de la inversión.'!G87</f>
        <v>50260</v>
      </c>
      <c r="H11" s="4">
        <f>G11/G15</f>
        <v>0.238470297969254</v>
      </c>
      <c r="K11" s="3" t="s">
        <v>13</v>
      </c>
      <c r="M11" s="5">
        <f>'Detallado de la inversión.'!G52+'Detallado de la inversión.'!G39+'Detallado de la inversión.'!G62</f>
        <v>27895</v>
      </c>
    </row>
    <row r="12" spans="5:14">
      <c r="E12" s="3" t="s">
        <v>20</v>
      </c>
      <c r="G12" s="5">
        <f>'Detallado de la inversión.'!G122</f>
        <v>145500</v>
      </c>
      <c r="H12" s="4">
        <f>G12/G15</f>
        <v>0.690358701840956</v>
      </c>
      <c r="K12" s="3" t="s">
        <v>16</v>
      </c>
      <c r="M12" s="5">
        <f>'Detallado de la inversión.'!G87</f>
        <v>50260</v>
      </c>
      <c r="N12">
        <f>M12-M10-M11</f>
        <v>0</v>
      </c>
    </row>
    <row r="13" spans="5:13">
      <c r="E13" s="3" t="s">
        <v>134</v>
      </c>
      <c r="G13" s="5">
        <f>'Detallado de la inversión.'!G123</f>
        <v>15000</v>
      </c>
      <c r="H13" s="4">
        <f>G13/G15</f>
        <v>0.0711710001897893</v>
      </c>
      <c r="K13" s="3" t="s">
        <v>142</v>
      </c>
      <c r="M13" s="5">
        <f>'Detallado de la inversión.'!G84</f>
        <v>33010</v>
      </c>
    </row>
    <row r="14" ht="15" customHeight="1" spans="11:13">
      <c r="K14" s="3" t="s">
        <v>143</v>
      </c>
      <c r="M14" s="5">
        <f>'Detallado de la inversión.'!G85</f>
        <v>8625</v>
      </c>
    </row>
    <row r="15" ht="15" customHeight="1" spans="5:13">
      <c r="E15" s="14" t="s">
        <v>144</v>
      </c>
      <c r="G15" s="14">
        <f>'Detallado de la inversión.'!G124</f>
        <v>210760</v>
      </c>
      <c r="H15" s="14">
        <f>SUM(H11:H13)</f>
        <v>1</v>
      </c>
      <c r="K15" s="3" t="s">
        <v>145</v>
      </c>
      <c r="M15" s="5">
        <f>'Detallado de la inversión.'!G86</f>
        <v>8625</v>
      </c>
    </row>
    <row r="16" spans="5:13">
      <c r="E16" s="47" t="s">
        <v>146</v>
      </c>
      <c r="K16" s="3" t="s">
        <v>18</v>
      </c>
      <c r="M16" s="5">
        <f>'Detallado de la inversión.'!G89</f>
        <v>160500</v>
      </c>
    </row>
    <row r="17" spans="11:13">
      <c r="K17" s="3" t="s">
        <v>20</v>
      </c>
      <c r="M17" s="5">
        <f>'Detallado de la inversión.'!G122</f>
        <v>145500</v>
      </c>
    </row>
    <row r="18" spans="5:13">
      <c r="E18" s="26" t="s">
        <v>147</v>
      </c>
      <c r="F18" s="35"/>
      <c r="G18" s="35"/>
      <c r="H18" s="35"/>
      <c r="I18" s="32"/>
      <c r="K18" s="3" t="s">
        <v>22</v>
      </c>
      <c r="M18" s="5">
        <f>'Detallado de la inversión.'!G123</f>
        <v>15000</v>
      </c>
    </row>
    <row r="19" ht="15" customHeight="1" spans="5:13">
      <c r="E19" s="30" t="s">
        <v>148</v>
      </c>
      <c r="K19" s="3" t="s">
        <v>24</v>
      </c>
      <c r="M19" s="56">
        <f>'Detallado de la inversión.'!G124</f>
        <v>210760</v>
      </c>
    </row>
    <row r="20" spans="5:13">
      <c r="E20" s="6" t="s">
        <v>2</v>
      </c>
      <c r="F20" s="32"/>
      <c r="G20" s="6" t="s">
        <v>7</v>
      </c>
      <c r="H20" s="6" t="s">
        <v>8</v>
      </c>
      <c r="I20" s="6" t="s">
        <v>149</v>
      </c>
      <c r="K20" s="3" t="s">
        <v>26</v>
      </c>
      <c r="M20" s="57">
        <f>M19/600000</f>
        <v>0.351266666666667</v>
      </c>
    </row>
    <row r="21" spans="5:9">
      <c r="E21" s="52" t="s">
        <v>150</v>
      </c>
      <c r="F21" s="35"/>
      <c r="G21" s="35"/>
      <c r="H21" s="35"/>
      <c r="I21" s="32"/>
    </row>
    <row r="22" spans="5:11">
      <c r="E22" s="3" t="str">
        <f>'Detallado de la inversión.'!C11</f>
        <v>Registro Mercantil + acta constitutiva</v>
      </c>
      <c r="F22" s="32"/>
      <c r="G22" s="5">
        <f>'Detallado de la inversión.'!E11</f>
        <v>1</v>
      </c>
      <c r="H22" s="5">
        <f>'Detallado de la inversión.'!F11</f>
        <v>1200</v>
      </c>
      <c r="I22" s="5">
        <f>'Detallado de la inversión.'!G11</f>
        <v>1200</v>
      </c>
      <c r="K22" s="26" t="s">
        <v>28</v>
      </c>
    </row>
    <row r="23" spans="5:13">
      <c r="E23" s="3" t="str">
        <f>'Detallado de la inversión.'!C12</f>
        <v>SENIAT — inscripción / trámites RIF</v>
      </c>
      <c r="F23" s="32"/>
      <c r="G23" s="5">
        <f>'Detallado de la inversión.'!E12</f>
        <v>1</v>
      </c>
      <c r="H23" s="5">
        <f>'Detallado de la inversión.'!F12</f>
        <v>600</v>
      </c>
      <c r="I23" s="5">
        <f>'Detallado de la inversión.'!G12</f>
        <v>600</v>
      </c>
      <c r="K23" s="3" t="s">
        <v>29</v>
      </c>
      <c r="M23" s="5">
        <f>'Detallado de la inversión.'!G106</f>
        <v>7825</v>
      </c>
    </row>
    <row r="24" spans="5:13">
      <c r="E24" s="3" t="str">
        <f>'Detallado de la inversión.'!C13</f>
        <v>Licencia / permisos municipales HQ</v>
      </c>
      <c r="F24" s="32"/>
      <c r="G24" s="5">
        <f>'Detallado de la inversión.'!E13</f>
        <v>1</v>
      </c>
      <c r="H24" s="5">
        <f>'Detallado de la inversión.'!F13</f>
        <v>1500</v>
      </c>
      <c r="I24" s="5">
        <f>'Detallado de la inversión.'!G13</f>
        <v>1500</v>
      </c>
      <c r="K24" s="3" t="s">
        <v>31</v>
      </c>
      <c r="M24" s="5">
        <f>'Detallado de la inversión.'!G118</f>
        <v>4300</v>
      </c>
    </row>
    <row r="25" ht="26.85" customHeight="1" spans="5:11">
      <c r="E25" s="3" t="str">
        <f>'Detallado de la inversión.'!C14</f>
        <v>Permiso bomberos (local operativo)</v>
      </c>
      <c r="F25" s="32"/>
      <c r="G25" s="5">
        <f>'Detallado de la inversión.'!E14</f>
        <v>1</v>
      </c>
      <c r="H25" s="5">
        <f>'Detallado de la inversión.'!F14</f>
        <v>1100</v>
      </c>
      <c r="I25" s="5">
        <f>'Detallado de la inversión.'!G14</f>
        <v>1100</v>
      </c>
      <c r="K25" s="30" t="s">
        <v>151</v>
      </c>
    </row>
    <row r="26" spans="5:9">
      <c r="E26" s="3" t="str">
        <f>'Detallado de la inversión.'!C15</f>
        <v>Apertura cuenta bancaria empresa</v>
      </c>
      <c r="F26" s="32"/>
      <c r="G26" s="5">
        <f>'Detallado de la inversión.'!E15</f>
        <v>1</v>
      </c>
      <c r="H26" s="5">
        <f>'Detallado de la inversión.'!F15</f>
        <v>100</v>
      </c>
      <c r="I26" s="5">
        <f>'Detallado de la inversión.'!G15</f>
        <v>100</v>
      </c>
    </row>
    <row r="27" spans="5:9">
      <c r="E27" s="3" t="str">
        <f>'Detallado de la inversión.'!C16</f>
        <v>Sello digital + factura digital SENIAT</v>
      </c>
      <c r="F27" s="32"/>
      <c r="G27" s="5">
        <f>'Detallado de la inversión.'!E16</f>
        <v>1</v>
      </c>
      <c r="H27" s="5">
        <f>'Detallado de la inversión.'!F16</f>
        <v>200</v>
      </c>
      <c r="I27" s="5">
        <f>'Detallado de la inversión.'!G16</f>
        <v>200</v>
      </c>
    </row>
    <row r="28" ht="15" customHeight="1" spans="5:9">
      <c r="E28" s="3" t="str">
        <f>'Detallado de la inversión.'!C17</f>
        <v>Registro marca SAPI (paralelo)</v>
      </c>
      <c r="F28" s="32"/>
      <c r="G28" s="5">
        <f>'Detallado de la inversión.'!E17</f>
        <v>1</v>
      </c>
      <c r="H28" s="5">
        <f>'Detallado de la inversión.'!F17</f>
        <v>350</v>
      </c>
      <c r="I28" s="5">
        <f>'Detallado de la inversión.'!G17</f>
        <v>350</v>
      </c>
    </row>
    <row r="29" ht="15" customHeight="1" spans="5:9">
      <c r="E29" s="53" t="str">
        <f>'Detallado de la inversión.'!C18</f>
        <v>Subtotal constitución empresa</v>
      </c>
      <c r="F29" s="54"/>
      <c r="I29" s="51">
        <f>'Detallado de la inversión.'!G18</f>
        <v>5050</v>
      </c>
    </row>
    <row r="31" spans="5:9">
      <c r="E31" s="52" t="s">
        <v>152</v>
      </c>
      <c r="F31" s="35"/>
      <c r="G31" s="35"/>
      <c r="H31" s="35"/>
      <c r="I31" s="32"/>
    </row>
    <row r="32" spans="5:9">
      <c r="E32" s="3" t="str">
        <f>'Detallado de la inversión.'!C25</f>
        <v>Website landing + dominio + hosting</v>
      </c>
      <c r="F32" s="32"/>
      <c r="G32" s="5">
        <f>'Detallado de la inversión.'!E25</f>
        <v>1</v>
      </c>
      <c r="H32" s="5">
        <f>'Detallado de la inversión.'!F25</f>
        <v>800</v>
      </c>
      <c r="I32" s="5">
        <f>'Detallado de la inversión.'!G25</f>
        <v>800</v>
      </c>
    </row>
    <row r="33" spans="5:9">
      <c r="E33" s="3" t="str">
        <f>'Detallado de la inversión.'!C26</f>
        <v>Brochures y material impreso B2B</v>
      </c>
      <c r="F33" s="32"/>
      <c r="G33" s="5">
        <f>'Detallado de la inversión.'!E26</f>
        <v>1</v>
      </c>
      <c r="H33" s="5">
        <f>'Detallado de la inversión.'!F26</f>
        <v>1000</v>
      </c>
      <c r="I33" s="5">
        <f>'Detallado de la inversión.'!G26</f>
        <v>1000</v>
      </c>
    </row>
    <row r="34" spans="5:9">
      <c r="E34" s="3" t="str">
        <f>'Detallado de la inversión.'!C27</f>
        <v>Tablets demo farmacia</v>
      </c>
      <c r="F34" s="32"/>
      <c r="G34" s="5">
        <f>'Detallado de la inversión.'!E27</f>
        <v>4</v>
      </c>
      <c r="H34" s="5">
        <f>'Detallado de la inversión.'!F27</f>
        <v>350</v>
      </c>
      <c r="I34" s="5">
        <f>'Detallado de la inversión.'!G27</f>
        <v>1400</v>
      </c>
    </row>
    <row r="35" spans="5:9">
      <c r="E35" s="3" t="str">
        <f>'Detallado de la inversión.'!C28</f>
        <v>Visitas comerciales pre-Day-D</v>
      </c>
      <c r="F35" s="32"/>
      <c r="G35" s="5">
        <f>'Detallado de la inversión.'!E28</f>
        <v>1</v>
      </c>
      <c r="H35" s="5">
        <f>'Detallado de la inversión.'!F28</f>
        <v>500</v>
      </c>
      <c r="I35" s="5">
        <f>'Detallado de la inversión.'!G28</f>
        <v>500</v>
      </c>
    </row>
    <row r="36" spans="5:9">
      <c r="E36" s="3" t="str">
        <f>'Detallado de la inversión.'!C30</f>
        <v>Reservas operativas primer mes</v>
      </c>
      <c r="F36" s="32"/>
      <c r="G36" s="5">
        <f>'Detallado de la inversión.'!E30</f>
        <v>1</v>
      </c>
      <c r="H36" s="5">
        <f>'Detallado de la inversión.'!F30</f>
        <v>1000</v>
      </c>
      <c r="I36" s="5">
        <f>'Detallado de la inversión.'!G30</f>
        <v>1000</v>
      </c>
    </row>
    <row r="37" ht="15" customHeight="1" spans="5:9">
      <c r="E37" s="3" t="str">
        <f>'Detallado de la inversión.'!C32</f>
        <v>Video pitch B2B farmacia (one-shot)</v>
      </c>
      <c r="F37" s="32"/>
      <c r="G37" s="5">
        <f>'Detallado de la inversión.'!E32</f>
        <v>1</v>
      </c>
      <c r="H37" s="5">
        <f>'Detallado de la inversión.'!F32</f>
        <v>800</v>
      </c>
      <c r="I37" s="5">
        <f>'Detallado de la inversión.'!G32</f>
        <v>800</v>
      </c>
    </row>
    <row r="38" ht="15" customHeight="1" spans="5:9">
      <c r="E38" s="53" t="str">
        <f>'Detallado de la inversión.'!C33</f>
        <v>Subtotal intro mercado Lean</v>
      </c>
      <c r="F38" s="54"/>
      <c r="I38" s="51">
        <f>'Detallado de la inversión.'!G33</f>
        <v>5640</v>
      </c>
    </row>
    <row r="40" spans="5:9">
      <c r="E40" s="52" t="s">
        <v>153</v>
      </c>
      <c r="F40" s="35"/>
      <c r="G40" s="35"/>
      <c r="H40" s="35"/>
      <c r="I40" s="32"/>
    </row>
    <row r="41" spans="5:9">
      <c r="E41" s="3" t="str">
        <f>'Detallado de la inversión.'!C36</f>
        <v>Meta Ads pre-Day-D</v>
      </c>
      <c r="F41" s="32"/>
      <c r="G41" s="5">
        <f>'Detallado de la inversión.'!E36</f>
        <v>3</v>
      </c>
      <c r="H41" s="5">
        <f>'Detallado de la inversión.'!F36</f>
        <v>400</v>
      </c>
      <c r="I41" s="5">
        <f>'Detallado de la inversión.'!G36</f>
        <v>1200</v>
      </c>
    </row>
    <row r="42" spans="5:9">
      <c r="E42" s="3" t="str">
        <f>'Detallado de la inversión.'!C37</f>
        <v>Material POP / señalética</v>
      </c>
      <c r="F42" s="32"/>
      <c r="G42" s="5">
        <f>'Detallado de la inversión.'!E37</f>
        <v>1</v>
      </c>
      <c r="H42" s="5">
        <f>'Detallado de la inversión.'!F37</f>
        <v>600</v>
      </c>
      <c r="I42" s="5">
        <f>'Detallado de la inversión.'!G37</f>
        <v>600</v>
      </c>
    </row>
    <row r="43" ht="15" customHeight="1" spans="5:9">
      <c r="E43" s="3" t="str">
        <f>'Detallado de la inversión.'!C38</f>
        <v>Demos B2B adicionales</v>
      </c>
      <c r="F43" s="32"/>
      <c r="G43" s="5">
        <f>'Detallado de la inversión.'!E38</f>
        <v>1</v>
      </c>
      <c r="H43" s="5">
        <f>'Detallado de la inversión.'!F38</f>
        <v>450</v>
      </c>
      <c r="I43" s="5">
        <f>'Detallado de la inversión.'!G38</f>
        <v>450</v>
      </c>
    </row>
    <row r="44" ht="15" customHeight="1" spans="5:9">
      <c r="E44" s="53" t="str">
        <f>'Detallado de la inversión.'!C39</f>
        <v>Subtotal marketing pre-lanzamiento Lean</v>
      </c>
      <c r="F44" s="54"/>
      <c r="I44" s="51">
        <f>'Detallado de la inversión.'!G39</f>
        <v>2250</v>
      </c>
    </row>
    <row r="46" spans="5:9">
      <c r="E46" s="52" t="s">
        <v>154</v>
      </c>
      <c r="F46" s="35"/>
      <c r="G46" s="35"/>
      <c r="H46" s="35"/>
      <c r="I46" s="32"/>
    </row>
    <row r="47" spans="5:9">
      <c r="E47" s="3" t="str">
        <f>'Detallado de la inversión.'!C44</f>
        <v>CEO (1000/mes)</v>
      </c>
      <c r="F47" s="32"/>
      <c r="G47" s="5">
        <f>'Detallado de la inversión.'!E44</f>
        <v>3</v>
      </c>
      <c r="H47" s="5">
        <f>'Detallado de la inversión.'!F44</f>
        <v>1000</v>
      </c>
      <c r="I47" s="5">
        <f>'Detallado de la inversión.'!G44</f>
        <v>3000</v>
      </c>
    </row>
    <row r="48" spans="5:9">
      <c r="E48" s="3" t="str">
        <f>'Detallado de la inversión.'!C46</f>
        <v>Co-CEO Head Sales&amp;Ops (1000/mes)</v>
      </c>
      <c r="F48" s="32"/>
      <c r="G48" s="5">
        <f>'Detallado de la inversión.'!E46</f>
        <v>3</v>
      </c>
      <c r="H48" s="5">
        <f>'Detallado de la inversión.'!F46</f>
        <v>1000</v>
      </c>
      <c r="I48" s="5">
        <f>'Detallado de la inversión.'!G46</f>
        <v>3000</v>
      </c>
    </row>
    <row r="49" spans="5:9">
      <c r="E49" s="3" t="str">
        <f>'Detallado de la inversión.'!C47</f>
        <v>Dev junior (Flutter/Laravel) (1000/mes)</v>
      </c>
      <c r="F49" s="32"/>
      <c r="G49" s="5">
        <f>'Detallado de la inversión.'!E47</f>
        <v>3</v>
      </c>
      <c r="H49" s="5">
        <f>'Detallado de la inversión.'!F47</f>
        <v>1000</v>
      </c>
      <c r="I49" s="5">
        <f>'Detallado de la inversión.'!G47</f>
        <v>3000</v>
      </c>
    </row>
    <row r="50" spans="5:9">
      <c r="E50" s="3" t="str">
        <f>'Detallado de la inversión.'!C48</f>
        <v>4× Sales B2B (350/mes c/u base)</v>
      </c>
      <c r="F50" s="32"/>
      <c r="G50" s="5">
        <f>'Detallado de la inversión.'!E48</f>
        <v>3</v>
      </c>
      <c r="H50" s="5">
        <f>'Detallado de la inversión.'!F48</f>
        <v>1400</v>
      </c>
      <c r="I50" s="5">
        <f>'Detallado de la inversión.'!G48</f>
        <v>4200</v>
      </c>
    </row>
    <row r="51" spans="5:9">
      <c r="E51" s="3" t="str">
        <f>'Detallado de la inversión.'!C49</f>
        <v>CS + Community Manager (500/mes)</v>
      </c>
      <c r="F51" s="32"/>
      <c r="G51" s="5">
        <f>'Detallado de la inversión.'!E49</f>
        <v>3</v>
      </c>
      <c r="H51" s="5">
        <f>'Detallado de la inversión.'!F49</f>
        <v>500</v>
      </c>
      <c r="I51" s="5">
        <f>'Detallado de la inversión.'!G49</f>
        <v>1500</v>
      </c>
    </row>
    <row r="52" spans="5:9">
      <c r="E52" s="3" t="str">
        <f>'Detallado de la inversión.'!C50</f>
        <v>Herramientas IA (425/mes)</v>
      </c>
      <c r="F52" s="32"/>
      <c r="G52" s="5">
        <f>'Detallado de la inversión.'!E50</f>
        <v>3</v>
      </c>
      <c r="H52" s="5">
        <f>'Detallado de la inversión.'!F50</f>
        <v>425</v>
      </c>
      <c r="I52" s="5">
        <f>'Detallado de la inversión.'!G50</f>
        <v>1275</v>
      </c>
    </row>
    <row r="53" ht="15" customHeight="1" spans="5:9">
      <c r="E53" s="3" t="str">
        <f>'Detallado de la inversión.'!C51</f>
        <v>Contador + Abogado (800/mes)</v>
      </c>
      <c r="F53" s="32"/>
      <c r="G53" s="5">
        <f>'Detallado de la inversión.'!E51</f>
        <v>3</v>
      </c>
      <c r="H53" s="5">
        <f>'Detallado de la inversión.'!F51</f>
        <v>800</v>
      </c>
      <c r="I53" s="5">
        <f>'Detallado de la inversión.'!G51</f>
        <v>2400</v>
      </c>
    </row>
    <row r="54" ht="15" customHeight="1" spans="5:9">
      <c r="E54" s="53" t="str">
        <f>'Detallado de la inversión.'!C52</f>
        <v>Subtotal mano de obra Fase 0 (3 meses)</v>
      </c>
      <c r="F54" s="54"/>
      <c r="I54" s="51">
        <f>'Detallado de la inversión.'!G52</f>
        <v>21375</v>
      </c>
    </row>
    <row r="56" spans="5:9">
      <c r="E56" s="34" t="s">
        <v>155</v>
      </c>
      <c r="F56" s="35"/>
      <c r="G56" s="35"/>
      <c r="H56" s="35"/>
      <c r="I56" s="32"/>
    </row>
    <row r="57" spans="5:9">
      <c r="E57" s="36" t="str">
        <f>'Detallado de la inversión.'!C57</f>
        <v>Visitas comerciales Valencia (combustible / terceros)</v>
      </c>
      <c r="F57" s="32"/>
      <c r="G57" s="37">
        <f>'Detallado de la inversión.'!E57</f>
        <v>5</v>
      </c>
      <c r="H57" s="37">
        <f>'Detallado de la inversión.'!F57</f>
        <v>200</v>
      </c>
      <c r="I57" s="37">
        <f>'Detallado de la inversión.'!G57</f>
        <v>1000</v>
      </c>
    </row>
    <row r="58" spans="5:9">
      <c r="E58" s="36" t="str">
        <f>'Detallado de la inversión.'!C58</f>
        <v>Tablets — ver Intro (no duplicar)</v>
      </c>
      <c r="F58" s="32"/>
      <c r="G58" s="37">
        <f>'Detallado de la inversión.'!E58</f>
        <v>0</v>
      </c>
      <c r="H58" s="37">
        <f>'Detallado de la inversión.'!F58</f>
        <v>0</v>
      </c>
      <c r="I58" s="37">
        <f>'Detallado de la inversión.'!G58</f>
        <v>0</v>
      </c>
    </row>
    <row r="59" spans="5:9">
      <c r="E59" s="36" t="str">
        <f>'Detallado de la inversión.'!C61</f>
        <v>Gira medios / eventos farmacia (opcional Lean)</v>
      </c>
      <c r="F59" s="32"/>
      <c r="G59" s="37">
        <f>'Detallado de la inversión.'!E61</f>
        <v>1</v>
      </c>
      <c r="H59" s="37">
        <f>'Detallado de la inversión.'!F61</f>
        <v>350</v>
      </c>
      <c r="I59" s="37">
        <f>'Detallado de la inversión.'!G61</f>
        <v>350</v>
      </c>
    </row>
    <row r="60" spans="5:9">
      <c r="E60" s="38" t="str">
        <f>'Detallado de la inversión.'!C62</f>
        <v>Subtotal transporte referencia Fase 0</v>
      </c>
      <c r="I60" s="37">
        <f>'Detallado de la inversión.'!G62</f>
        <v>4270</v>
      </c>
    </row>
    <row r="62" spans="5:9">
      <c r="E62" s="52" t="s">
        <v>156</v>
      </c>
      <c r="F62" s="35"/>
      <c r="G62" s="35"/>
      <c r="H62" s="35"/>
      <c r="I62" s="32"/>
    </row>
    <row r="63" spans="5:9">
      <c r="E63" s="3" t="str">
        <f>'Detallado de la inversión.'!C65</f>
        <v>Amueblado HQ (escritorios, sillas y otros — one-shot)</v>
      </c>
      <c r="F63" s="32"/>
      <c r="G63" s="5">
        <f>'Detallado de la inversión.'!E65</f>
        <v>1</v>
      </c>
      <c r="H63" s="5">
        <f>'Detallado de la inversión.'!F65</f>
        <v>2250</v>
      </c>
      <c r="I63" s="5">
        <f>'Detallado de la inversión.'!G65</f>
        <v>2250</v>
      </c>
    </row>
    <row r="64" spans="5:9">
      <c r="E64" s="3" t="str">
        <f>'Detallado de la inversión.'!C66</f>
        <v>Adecuación HQ (pintura, señalética)</v>
      </c>
      <c r="F64" s="32"/>
      <c r="G64" s="5">
        <f>'Detallado de la inversión.'!E66</f>
        <v>1</v>
      </c>
      <c r="H64" s="5">
        <f>'Detallado de la inversión.'!F66</f>
        <v>1000</v>
      </c>
      <c r="I64" s="5">
        <f>'Detallado de la inversión.'!G66</f>
        <v>1000</v>
      </c>
    </row>
    <row r="65" spans="5:9">
      <c r="E65" s="3" t="str">
        <f>'Detallado de la inversión.'!C67</f>
        <v>PC recepción / ventas</v>
      </c>
      <c r="F65" s="32"/>
      <c r="G65" s="5">
        <f>'Detallado de la inversión.'!E67</f>
        <v>1</v>
      </c>
      <c r="H65" s="5">
        <f>'Detallado de la inversión.'!F67</f>
        <v>800</v>
      </c>
      <c r="I65" s="5">
        <f>'Detallado de la inversión.'!G67</f>
        <v>800</v>
      </c>
    </row>
    <row r="66" spans="5:9">
      <c r="E66" s="3" t="str">
        <f>'Detallado de la inversión.'!C68</f>
        <v>PC administración</v>
      </c>
      <c r="F66" s="32"/>
      <c r="G66" s="5">
        <f>'Detallado de la inversión.'!E68</f>
        <v>1</v>
      </c>
      <c r="H66" s="5">
        <f>'Detallado de la inversión.'!F68</f>
        <v>850</v>
      </c>
      <c r="I66" s="5">
        <f>'Detallado de la inversión.'!G68</f>
        <v>850</v>
      </c>
    </row>
    <row r="67" spans="5:9">
      <c r="E67" s="3" t="str">
        <f>'Detallado de la inversión.'!C69</f>
        <v>PC desarrollo</v>
      </c>
      <c r="F67" s="32"/>
      <c r="G67" s="5">
        <f>'Detallado de la inversión.'!E69</f>
        <v>2</v>
      </c>
      <c r="H67" s="5">
        <f>'Detallado de la inversión.'!F69</f>
        <v>950</v>
      </c>
      <c r="I67" s="5">
        <f>'Detallado de la inversión.'!G69</f>
        <v>1900</v>
      </c>
    </row>
    <row r="68" ht="15" customHeight="1" spans="5:9">
      <c r="E68" s="3" t="str">
        <f>'Detallado de la inversión.'!C70</f>
        <v>PC puesto flexible</v>
      </c>
      <c r="F68" s="32"/>
      <c r="G68" s="5">
        <f>'Detallado de la inversión.'!E70</f>
        <v>1</v>
      </c>
      <c r="H68" s="5">
        <f>'Detallado de la inversión.'!F70</f>
        <v>1100</v>
      </c>
      <c r="I68" s="5">
        <f>'Detallado de la inversión.'!G70</f>
        <v>1100</v>
      </c>
    </row>
    <row r="69" ht="15" customHeight="1" spans="5:9">
      <c r="E69" s="53" t="str">
        <f>'Detallado de la inversión.'!C81</f>
        <v>Subtotal HQ y CapEx (amueblado + alquiler Fase 0 + CapEx)</v>
      </c>
      <c r="F69" s="54"/>
      <c r="I69" s="51">
        <f>'Detallado de la inversión.'!G81</f>
        <v>11675</v>
      </c>
    </row>
    <row r="71" spans="5:9">
      <c r="E71" s="45" t="s">
        <v>157</v>
      </c>
      <c r="F71" s="35"/>
      <c r="G71" s="35"/>
      <c r="H71" s="35"/>
      <c r="I71" s="32"/>
    </row>
    <row r="73" spans="5:9">
      <c r="E73" s="46" t="s">
        <v>158</v>
      </c>
      <c r="F73" s="32"/>
      <c r="I73" s="5">
        <f>'Detallado de la inversión.'!G93</f>
        <v>0</v>
      </c>
    </row>
    <row r="74" ht="15" customHeight="1"/>
    <row r="75" ht="15" customHeight="1" spans="5:9">
      <c r="E75" s="14" t="s">
        <v>159</v>
      </c>
      <c r="F75" s="50"/>
      <c r="I75" s="14">
        <f>'Detallado de la inversión.'!G87</f>
        <v>50260</v>
      </c>
    </row>
  </sheetData>
  <mergeCells count="54">
    <mergeCell ref="E7:I7"/>
    <mergeCell ref="E9:I9"/>
    <mergeCell ref="K9:M9"/>
    <mergeCell ref="E18:I18"/>
    <mergeCell ref="E19:I19"/>
    <mergeCell ref="E20:F20"/>
    <mergeCell ref="E21:I21"/>
    <mergeCell ref="E22:F22"/>
    <mergeCell ref="E23:F23"/>
    <mergeCell ref="E24:F24"/>
    <mergeCell ref="E25:F25"/>
    <mergeCell ref="K25:M25"/>
    <mergeCell ref="E26:F26"/>
    <mergeCell ref="E27:F27"/>
    <mergeCell ref="E28:F28"/>
    <mergeCell ref="E29:F29"/>
    <mergeCell ref="E31:I31"/>
    <mergeCell ref="E32:F32"/>
    <mergeCell ref="E33:F33"/>
    <mergeCell ref="E34:F34"/>
    <mergeCell ref="E35:F35"/>
    <mergeCell ref="E36:F36"/>
    <mergeCell ref="E37:F37"/>
    <mergeCell ref="E38:F38"/>
    <mergeCell ref="E40:I40"/>
    <mergeCell ref="E41:F41"/>
    <mergeCell ref="E42:F42"/>
    <mergeCell ref="E43:F43"/>
    <mergeCell ref="E44:F44"/>
    <mergeCell ref="E46:I46"/>
    <mergeCell ref="E47:F47"/>
    <mergeCell ref="E48:F48"/>
    <mergeCell ref="E49:F49"/>
    <mergeCell ref="E50:F50"/>
    <mergeCell ref="E51:F51"/>
    <mergeCell ref="E52:F52"/>
    <mergeCell ref="E53:F53"/>
    <mergeCell ref="E54:F54"/>
    <mergeCell ref="E56:I56"/>
    <mergeCell ref="E57:F57"/>
    <mergeCell ref="E58:F58"/>
    <mergeCell ref="E59:F59"/>
    <mergeCell ref="E60:F60"/>
    <mergeCell ref="E62:I62"/>
    <mergeCell ref="E63:F63"/>
    <mergeCell ref="E64:F64"/>
    <mergeCell ref="E65:F65"/>
    <mergeCell ref="E66:F66"/>
    <mergeCell ref="E67:F67"/>
    <mergeCell ref="E68:F68"/>
    <mergeCell ref="E69:F69"/>
    <mergeCell ref="E71:I71"/>
    <mergeCell ref="E73:F73"/>
    <mergeCell ref="E75:F75"/>
  </mergeCells>
  <pageMargins left="0.75" right="0.75" top="1" bottom="1" header="0.511811023622047" footer="0.511811023622047"/>
  <pageSetup paperSize="1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:M69"/>
  <sheetViews>
    <sheetView zoomScale="95" zoomScaleNormal="95" topLeftCell="A23" workbookViewId="0">
      <selection activeCell="I28" sqref="I28"/>
    </sheetView>
  </sheetViews>
  <sheetFormatPr defaultColWidth="8.66666666666667" defaultRowHeight="14.25"/>
  <cols>
    <col min="2" max="2" width="38" customWidth="1"/>
    <col min="5" max="5" width="14.5583333333333" customWidth="1"/>
    <col min="6" max="6" width="8" customWidth="1"/>
    <col min="7" max="7" width="10" customWidth="1"/>
    <col min="8" max="8" width="14" customWidth="1"/>
    <col min="9" max="9" width="10" customWidth="1"/>
    <col min="10" max="10" width="13.6666666666667" customWidth="1"/>
    <col min="11" max="11" width="14" customWidth="1"/>
    <col min="12" max="12" width="28" customWidth="1"/>
    <col min="13" max="13" width="14" customWidth="1"/>
  </cols>
  <sheetData>
    <row r="1" ht="88.8" customHeight="1" spans="5:12">
      <c r="E1" s="48" t="s">
        <v>160</v>
      </c>
      <c r="L1" s="40" t="s">
        <v>161</v>
      </c>
    </row>
    <row r="2" ht="26.85" customHeight="1" spans="12:12">
      <c r="L2" s="30" t="s">
        <v>162</v>
      </c>
    </row>
    <row r="3" ht="39.6" customHeight="1" spans="5:13">
      <c r="E3" s="30" t="s">
        <v>163</v>
      </c>
      <c r="L3" s="3" t="s">
        <v>164</v>
      </c>
      <c r="M3" s="5">
        <f>'Detallado de la inversión.'!G81</f>
        <v>11675</v>
      </c>
    </row>
    <row r="4" spans="12:13">
      <c r="L4" s="3" t="s">
        <v>165</v>
      </c>
      <c r="M4" s="4">
        <f>M3/'Detallado de la inversión.'!G124</f>
        <v>0.055394761814386</v>
      </c>
    </row>
    <row r="5" spans="5:13">
      <c r="E5" s="6" t="s">
        <v>2</v>
      </c>
      <c r="F5" s="32"/>
      <c r="G5" s="6" t="s">
        <v>7</v>
      </c>
      <c r="H5" s="6" t="s">
        <v>8</v>
      </c>
      <c r="I5" s="6" t="s">
        <v>149</v>
      </c>
      <c r="J5" s="6" t="s">
        <v>166</v>
      </c>
      <c r="L5" s="3" t="s">
        <v>167</v>
      </c>
      <c r="M5" s="5">
        <f>'Detallado de la inversión.'!G124</f>
        <v>210760</v>
      </c>
    </row>
    <row r="6" spans="5:13">
      <c r="E6" s="34" t="s">
        <v>168</v>
      </c>
      <c r="F6" s="35"/>
      <c r="G6" s="35"/>
      <c r="H6" s="35"/>
      <c r="I6" s="32"/>
      <c r="L6" s="3" t="s">
        <v>169</v>
      </c>
      <c r="M6" s="5">
        <f>'Detallado de la inversión.'!G105+'Detallado de la inversión.'!G118</f>
        <v>4300</v>
      </c>
    </row>
    <row r="7" spans="5:13">
      <c r="E7" s="36" t="str">
        <f>'Detallado de la inversión.'!C67</f>
        <v>PC recepción / ventas</v>
      </c>
      <c r="F7" s="32"/>
      <c r="G7" s="37">
        <f>'Detallado de la inversión.'!E67</f>
        <v>1</v>
      </c>
      <c r="H7" s="37">
        <f>'Detallado de la inversión.'!F67</f>
        <v>800</v>
      </c>
      <c r="I7" s="37">
        <f>'Detallado de la inversión.'!G67</f>
        <v>800</v>
      </c>
      <c r="J7" s="39">
        <f>'Detallado de la inversión.'!H67</f>
        <v>0.00379578667678876</v>
      </c>
      <c r="L7" s="3" t="s">
        <v>170</v>
      </c>
      <c r="M7" s="5">
        <f>'Detallado de la inversión.'!G123</f>
        <v>15000</v>
      </c>
    </row>
    <row r="8" spans="5:13">
      <c r="E8" s="36" t="str">
        <f>'Detallado de la inversión.'!C68</f>
        <v>PC administración</v>
      </c>
      <c r="F8" s="32"/>
      <c r="G8" s="37">
        <f>'Detallado de la inversión.'!E68</f>
        <v>1</v>
      </c>
      <c r="H8" s="37">
        <f>'Detallado de la inversión.'!F68</f>
        <v>850</v>
      </c>
      <c r="I8" s="37">
        <f>'Detallado de la inversión.'!G68</f>
        <v>850</v>
      </c>
      <c r="J8" s="39">
        <f>'Detallado de la inversión.'!H68</f>
        <v>0.00403302334408806</v>
      </c>
      <c r="L8" s="3" t="s">
        <v>171</v>
      </c>
      <c r="M8" s="4">
        <f>M5/600000</f>
        <v>0.351266666666667</v>
      </c>
    </row>
    <row r="9" spans="5:10">
      <c r="E9" s="36" t="str">
        <f>'Detallado de la inversión.'!C69</f>
        <v>PC desarrollo</v>
      </c>
      <c r="F9" s="32"/>
      <c r="G9" s="37">
        <f>'Detallado de la inversión.'!E69</f>
        <v>2</v>
      </c>
      <c r="H9" s="37">
        <f>'Detallado de la inversión.'!F69</f>
        <v>950</v>
      </c>
      <c r="I9" s="37">
        <f>'Detallado de la inversión.'!G69</f>
        <v>1900</v>
      </c>
      <c r="J9" s="39">
        <f>'Detallado de la inversión.'!H69</f>
        <v>0.00901499335737332</v>
      </c>
    </row>
    <row r="10" spans="5:12">
      <c r="E10" s="36" t="str">
        <f>'Detallado de la inversión.'!C70</f>
        <v>PC puesto flexible</v>
      </c>
      <c r="F10" s="32"/>
      <c r="G10" s="37">
        <f>'Detallado de la inversión.'!E70</f>
        <v>1</v>
      </c>
      <c r="H10" s="37">
        <f>'Detallado de la inversión.'!F70</f>
        <v>1100</v>
      </c>
      <c r="I10" s="37">
        <f>'Detallado de la inversión.'!G70</f>
        <v>1100</v>
      </c>
      <c r="J10" s="39">
        <f>'Detallado de la inversión.'!H70</f>
        <v>0.00521920668058455</v>
      </c>
      <c r="L10" s="47" t="s">
        <v>172</v>
      </c>
    </row>
    <row r="11" ht="15" customHeight="1"/>
    <row r="12" ht="15" customHeight="1" spans="5:10">
      <c r="E12" s="49" t="s">
        <v>173</v>
      </c>
      <c r="F12" s="50"/>
      <c r="I12" s="51">
        <f>SUM('Detallado de la inversión.'!G67:G70)</f>
        <v>4650</v>
      </c>
      <c r="J12" s="51"/>
    </row>
    <row r="14" spans="5:9">
      <c r="E14" s="34" t="s">
        <v>174</v>
      </c>
      <c r="F14" s="35"/>
      <c r="G14" s="35"/>
      <c r="H14" s="35"/>
      <c r="I14" s="32"/>
    </row>
    <row r="15" spans="5:10">
      <c r="E15" s="36" t="str">
        <f>'Detallado de la inversión.'!C65</f>
        <v>Amueblado HQ (escritorios, sillas y otros — one-shot)</v>
      </c>
      <c r="F15" s="32"/>
      <c r="G15" s="37">
        <f>'Detallado de la inversión.'!E65</f>
        <v>1</v>
      </c>
      <c r="H15" s="37">
        <f>'Detallado de la inversión.'!F65</f>
        <v>2250</v>
      </c>
      <c r="I15" s="37">
        <f>'Detallado de la inversión.'!G65</f>
        <v>2250</v>
      </c>
      <c r="J15" s="39">
        <f>'Detallado de la inversión.'!H65</f>
        <v>0.0106756500284684</v>
      </c>
    </row>
    <row r="16" spans="5:10">
      <c r="E16" s="36" t="str">
        <f>'Detallado de la inversión.'!C66</f>
        <v>Adecuación HQ (pintura, señalética)</v>
      </c>
      <c r="F16" s="32"/>
      <c r="G16" s="37">
        <f>'Detallado de la inversión.'!E66</f>
        <v>1</v>
      </c>
      <c r="H16" s="37">
        <f>'Detallado de la inversión.'!F66</f>
        <v>1000</v>
      </c>
      <c r="I16" s="37">
        <f>'Detallado de la inversión.'!G66</f>
        <v>1000</v>
      </c>
      <c r="J16" s="39">
        <f>'Detallado de la inversión.'!H66</f>
        <v>0.00474473334598596</v>
      </c>
    </row>
    <row r="17" ht="15" customHeight="1"/>
    <row r="18" ht="15" customHeight="1" spans="5:9">
      <c r="E18" s="49" t="s">
        <v>175</v>
      </c>
      <c r="F18" s="50"/>
      <c r="I18" s="51">
        <f>SUM('Detallado de la inversión.'!G65:G66)</f>
        <v>3250</v>
      </c>
    </row>
    <row r="20" spans="5:9">
      <c r="E20" s="34" t="s">
        <v>176</v>
      </c>
      <c r="F20" s="35"/>
      <c r="G20" s="35"/>
      <c r="H20" s="35"/>
      <c r="I20" s="32"/>
    </row>
    <row r="21" spans="5:10">
      <c r="E21" s="36" t="str">
        <f>'Detallado de la inversión.'!C44</f>
        <v>CEO (1000/mes)</v>
      </c>
      <c r="F21" s="32"/>
      <c r="G21" s="37">
        <f>'Detallado de la inversión.'!E44</f>
        <v>3</v>
      </c>
      <c r="H21" s="37">
        <f>'Detallado de la inversión.'!F44</f>
        <v>1000</v>
      </c>
      <c r="I21" s="37">
        <f>'Detallado de la inversión.'!G44</f>
        <v>3000</v>
      </c>
      <c r="J21" s="39">
        <f>'Detallado de la inversión.'!H44</f>
        <v>0.0142342000379579</v>
      </c>
    </row>
    <row r="22" spans="5:10">
      <c r="E22" s="36" t="str">
        <f>'Detallado de la inversión.'!C46</f>
        <v>Co-CEO Head Sales&amp;Ops (1000/mes)</v>
      </c>
      <c r="F22" s="32"/>
      <c r="G22" s="37">
        <f>'Detallado de la inversión.'!E46</f>
        <v>3</v>
      </c>
      <c r="H22" s="37">
        <f>'Detallado de la inversión.'!F46</f>
        <v>1000</v>
      </c>
      <c r="I22" s="37">
        <f>'Detallado de la inversión.'!G46</f>
        <v>3000</v>
      </c>
      <c r="J22" s="39">
        <f>'Detallado de la inversión.'!H46</f>
        <v>0.0142342000379579</v>
      </c>
    </row>
    <row r="23" spans="5:10">
      <c r="E23" s="36" t="str">
        <f>'Detallado de la inversión.'!C47</f>
        <v>Dev junior (Flutter/Laravel) (1000/mes)</v>
      </c>
      <c r="F23" s="32"/>
      <c r="G23" s="37">
        <f>'Detallado de la inversión.'!E47</f>
        <v>3</v>
      </c>
      <c r="H23" s="37">
        <f>'Detallado de la inversión.'!F47</f>
        <v>1000</v>
      </c>
      <c r="I23" s="37">
        <f>'Detallado de la inversión.'!G47</f>
        <v>3000</v>
      </c>
      <c r="J23" s="39">
        <f>'Detallado de la inversión.'!H47</f>
        <v>0.0142342000379579</v>
      </c>
    </row>
    <row r="24" spans="5:10">
      <c r="E24" s="36" t="str">
        <f>'Detallado de la inversión.'!C48</f>
        <v>4× Sales B2B (350/mes c/u base)</v>
      </c>
      <c r="F24" s="32"/>
      <c r="G24" s="37">
        <f>'Detallado de la inversión.'!E48</f>
        <v>3</v>
      </c>
      <c r="H24" s="37">
        <f>'Detallado de la inversión.'!F48</f>
        <v>1400</v>
      </c>
      <c r="I24" s="37">
        <f>'Detallado de la inversión.'!G48</f>
        <v>4200</v>
      </c>
      <c r="J24" s="39">
        <f>'Detallado de la inversión.'!H48</f>
        <v>0.019927880053141</v>
      </c>
    </row>
    <row r="25" spans="5:10">
      <c r="E25" s="36" t="str">
        <f>'Detallado de la inversión.'!C49</f>
        <v>CS + Community Manager (500/mes)</v>
      </c>
      <c r="F25" s="32"/>
      <c r="G25" s="37">
        <f>'Detallado de la inversión.'!E49</f>
        <v>3</v>
      </c>
      <c r="H25" s="37">
        <f>'Detallado de la inversión.'!F49</f>
        <v>500</v>
      </c>
      <c r="I25" s="37">
        <f>'Detallado de la inversión.'!G49</f>
        <v>1500</v>
      </c>
      <c r="J25" s="39">
        <f>'Detallado de la inversión.'!H49</f>
        <v>0.00711710001897893</v>
      </c>
    </row>
    <row r="26" spans="5:10">
      <c r="E26" s="36" t="str">
        <f>'Detallado de la inversión.'!C50</f>
        <v>Herramientas IA (425/mes)</v>
      </c>
      <c r="F26" s="32"/>
      <c r="G26" s="37">
        <f>'Detallado de la inversión.'!E50</f>
        <v>3</v>
      </c>
      <c r="H26" s="37">
        <f>'Detallado de la inversión.'!F50</f>
        <v>425</v>
      </c>
      <c r="I26" s="37">
        <f>'Detallado de la inversión.'!G50</f>
        <v>1275</v>
      </c>
      <c r="J26" s="39">
        <f>'Detallado de la inversión.'!H50</f>
        <v>0.00604953501613209</v>
      </c>
    </row>
    <row r="27" spans="5:10">
      <c r="E27" s="36" t="str">
        <f>'Detallado de la inversión.'!C51</f>
        <v>Contador + Abogado (800/mes)</v>
      </c>
      <c r="F27" s="32"/>
      <c r="G27" s="37">
        <f>'Detallado de la inversión.'!E51</f>
        <v>3</v>
      </c>
      <c r="H27" s="37">
        <f>'Detallado de la inversión.'!F51</f>
        <v>800</v>
      </c>
      <c r="I27" s="37">
        <f>'Detallado de la inversión.'!G51</f>
        <v>2400</v>
      </c>
      <c r="J27" s="39">
        <f>'Detallado de la inversión.'!H51</f>
        <v>0.0113873600303663</v>
      </c>
    </row>
    <row r="28" spans="5:10">
      <c r="E28" s="38" t="str">
        <f>'Detallado de la inversión.'!C52</f>
        <v>Subtotal mano de obra Fase 0 (3 meses)</v>
      </c>
      <c r="I28" s="37">
        <f>'Detallado de la inversión.'!G52</f>
        <v>21375</v>
      </c>
      <c r="J28" s="39">
        <f>'Detallado de la inversión.'!H52</f>
        <v>0.10141867527045</v>
      </c>
    </row>
    <row r="30" spans="5:9">
      <c r="E30" s="34" t="s">
        <v>177</v>
      </c>
      <c r="F30" s="35"/>
      <c r="G30" s="35"/>
      <c r="H30" s="35"/>
      <c r="I30" s="32"/>
    </row>
    <row r="31" spans="5:10">
      <c r="E31" s="36" t="str">
        <f>'Detallado de la inversión.'!C57</f>
        <v>Visitas comerciales Valencia (combustible / terceros)</v>
      </c>
      <c r="F31" s="32"/>
      <c r="G31" s="37">
        <f>'Detallado de la inversión.'!E57</f>
        <v>5</v>
      </c>
      <c r="H31" s="37">
        <f>'Detallado de la inversión.'!F57</f>
        <v>200</v>
      </c>
      <c r="I31" s="37">
        <f>'Detallado de la inversión.'!G57</f>
        <v>1000</v>
      </c>
      <c r="J31" s="39">
        <f>'Detallado de la inversión.'!H57</f>
        <v>0.00474473334598596</v>
      </c>
    </row>
    <row r="32" spans="5:10">
      <c r="E32" s="36" t="str">
        <f>'Detallado de la inversión.'!C58</f>
        <v>Tablets — ver Intro (no duplicar)</v>
      </c>
      <c r="F32" s="32"/>
      <c r="G32" s="37">
        <f>'Detallado de la inversión.'!E58</f>
        <v>0</v>
      </c>
      <c r="H32" s="37">
        <f>'Detallado de la inversión.'!F58</f>
        <v>0</v>
      </c>
      <c r="I32" s="37">
        <f>'Detallado de la inversión.'!G58</f>
        <v>0</v>
      </c>
      <c r="J32" s="39" t="str">
        <f>'Detallado de la inversión.'!H58</f>
        <v/>
      </c>
    </row>
    <row r="33" spans="5:10">
      <c r="E33" s="36" t="str">
        <f>'Detallado de la inversión.'!C61</f>
        <v>Gira medios / eventos farmacia (opcional Lean)</v>
      </c>
      <c r="F33" s="32"/>
      <c r="G33" s="37">
        <f>'Detallado de la inversión.'!E61</f>
        <v>1</v>
      </c>
      <c r="H33" s="37">
        <f>'Detallado de la inversión.'!F61</f>
        <v>350</v>
      </c>
      <c r="I33" s="37">
        <f>'Detallado de la inversión.'!G61</f>
        <v>350</v>
      </c>
      <c r="J33" s="39">
        <f>'Detallado de la inversión.'!H61</f>
        <v>0.00166065667109508</v>
      </c>
    </row>
    <row r="34" spans="5:10">
      <c r="E34" s="38" t="str">
        <f>'Detallado de la inversión.'!C62</f>
        <v>Subtotal transporte referencia Fase 0</v>
      </c>
      <c r="I34" s="37">
        <f>'Detallado de la inversión.'!G62</f>
        <v>4270</v>
      </c>
      <c r="J34" s="39">
        <f>'Detallado de la inversión.'!H62</f>
        <v>0.02026001138736</v>
      </c>
    </row>
    <row r="36" spans="5:9">
      <c r="E36" s="34" t="s">
        <v>178</v>
      </c>
      <c r="F36" s="35"/>
      <c r="G36" s="35"/>
      <c r="H36" s="35"/>
      <c r="I36" s="32"/>
    </row>
    <row r="37" spans="5:10">
      <c r="E37" s="36" t="str">
        <f>'Detallado de la inversión.'!C110</f>
        <v>Alquiler HQ (mensual post-Day-D)</v>
      </c>
      <c r="F37" s="32"/>
      <c r="G37" s="36">
        <f>'Detallado de la inversión.'!E110</f>
        <v>0</v>
      </c>
      <c r="H37" s="37">
        <f>'Detallado de la inversión.'!F110</f>
        <v>750</v>
      </c>
      <c r="I37" s="37">
        <f>'Detallado de la inversión.'!G110</f>
        <v>750</v>
      </c>
      <c r="J37" s="39">
        <f>'Detallado de la inversión.'!H110</f>
        <v>0.00355855000948947</v>
      </c>
    </row>
    <row r="39" ht="26.85" customHeight="1" spans="5:5">
      <c r="E39" s="30" t="s">
        <v>179</v>
      </c>
    </row>
    <row r="41" spans="5:9">
      <c r="E41" s="34" t="s">
        <v>180</v>
      </c>
      <c r="F41" s="35"/>
      <c r="G41" s="35"/>
      <c r="H41" s="35"/>
      <c r="I41" s="32"/>
    </row>
    <row r="42" spans="5:10">
      <c r="E42" s="36" t="str">
        <f>'Detallado de la inversión.'!C11</f>
        <v>Registro Mercantil + acta constitutiva</v>
      </c>
      <c r="F42" s="32"/>
      <c r="G42" s="37">
        <f>'Detallado de la inversión.'!E11</f>
        <v>1</v>
      </c>
      <c r="H42" s="37">
        <f>'Detallado de la inversión.'!F11</f>
        <v>1200</v>
      </c>
      <c r="I42" s="37">
        <f>'Detallado de la inversión.'!G11</f>
        <v>1200</v>
      </c>
      <c r="J42" s="39">
        <f>'Detallado de la inversión.'!H11</f>
        <v>0.00569368001518315</v>
      </c>
    </row>
    <row r="43" spans="5:10">
      <c r="E43" s="36" t="str">
        <f>'Detallado de la inversión.'!C12</f>
        <v>SENIAT — inscripción / trámites RIF</v>
      </c>
      <c r="F43" s="32"/>
      <c r="G43" s="37">
        <f>'Detallado de la inversión.'!E12</f>
        <v>1</v>
      </c>
      <c r="H43" s="37">
        <f>'Detallado de la inversión.'!F12</f>
        <v>600</v>
      </c>
      <c r="I43" s="37">
        <f>'Detallado de la inversión.'!G12</f>
        <v>600</v>
      </c>
      <c r="J43" s="39">
        <f>'Detallado de la inversión.'!H12</f>
        <v>0.00284684000759157</v>
      </c>
    </row>
    <row r="44" spans="5:10">
      <c r="E44" s="36" t="str">
        <f>'Detallado de la inversión.'!C13</f>
        <v>Licencia / permisos municipales HQ</v>
      </c>
      <c r="F44" s="32"/>
      <c r="G44" s="37">
        <f>'Detallado de la inversión.'!E13</f>
        <v>1</v>
      </c>
      <c r="H44" s="37">
        <f>'Detallado de la inversión.'!F13</f>
        <v>1500</v>
      </c>
      <c r="I44" s="37">
        <f>'Detallado de la inversión.'!G13</f>
        <v>1500</v>
      </c>
      <c r="J44" s="39">
        <f>'Detallado de la inversión.'!H13</f>
        <v>0.00711710001897893</v>
      </c>
    </row>
    <row r="45" spans="5:10">
      <c r="E45" s="36" t="str">
        <f>'Detallado de la inversión.'!C14</f>
        <v>Permiso bomberos (local operativo)</v>
      </c>
      <c r="F45" s="32"/>
      <c r="G45" s="37">
        <f>'Detallado de la inversión.'!E14</f>
        <v>1</v>
      </c>
      <c r="H45" s="37">
        <f>'Detallado de la inversión.'!F14</f>
        <v>1100</v>
      </c>
      <c r="I45" s="37">
        <f>'Detallado de la inversión.'!G14</f>
        <v>1100</v>
      </c>
      <c r="J45" s="39">
        <f>'Detallado de la inversión.'!H14</f>
        <v>0.00521920668058455</v>
      </c>
    </row>
    <row r="46" spans="5:10">
      <c r="E46" s="36" t="str">
        <f>'Detallado de la inversión.'!C15</f>
        <v>Apertura cuenta bancaria empresa</v>
      </c>
      <c r="F46" s="32"/>
      <c r="G46" s="37">
        <f>'Detallado de la inversión.'!E15</f>
        <v>1</v>
      </c>
      <c r="H46" s="37">
        <f>'Detallado de la inversión.'!F15</f>
        <v>100</v>
      </c>
      <c r="I46" s="37">
        <f>'Detallado de la inversión.'!G15</f>
        <v>100</v>
      </c>
      <c r="J46" s="39">
        <f>'Detallado de la inversión.'!H15</f>
        <v>0.000474473334598596</v>
      </c>
    </row>
    <row r="47" spans="5:10">
      <c r="E47" s="36" t="str">
        <f>'Detallado de la inversión.'!C16</f>
        <v>Sello digital + factura digital SENIAT</v>
      </c>
      <c r="F47" s="32"/>
      <c r="G47" s="37">
        <f>'Detallado de la inversión.'!E16</f>
        <v>1</v>
      </c>
      <c r="H47" s="37">
        <f>'Detallado de la inversión.'!F16</f>
        <v>200</v>
      </c>
      <c r="I47" s="37">
        <f>'Detallado de la inversión.'!G16</f>
        <v>200</v>
      </c>
      <c r="J47" s="39">
        <f>'Detallado de la inversión.'!H16</f>
        <v>0.000948946669197191</v>
      </c>
    </row>
    <row r="48" spans="5:10">
      <c r="E48" s="36" t="str">
        <f>'Detallado de la inversión.'!C17</f>
        <v>Registro marca SAPI (paralelo)</v>
      </c>
      <c r="F48" s="32"/>
      <c r="G48" s="37">
        <f>'Detallado de la inversión.'!E17</f>
        <v>1</v>
      </c>
      <c r="H48" s="37">
        <f>'Detallado de la inversión.'!F17</f>
        <v>350</v>
      </c>
      <c r="I48" s="37">
        <f>'Detallado de la inversión.'!G17</f>
        <v>350</v>
      </c>
      <c r="J48" s="39">
        <f>'Detallado de la inversión.'!H17</f>
        <v>0.00166065667109508</v>
      </c>
    </row>
    <row r="49" spans="5:10">
      <c r="E49" s="38" t="str">
        <f>'Detallado de la inversión.'!C18</f>
        <v>Subtotal constitución empresa</v>
      </c>
      <c r="I49" s="37">
        <f>'Detallado de la inversión.'!G18</f>
        <v>5050</v>
      </c>
      <c r="J49" s="39">
        <f>'Detallado de la inversión.'!H18</f>
        <v>0.0239609033972291</v>
      </c>
    </row>
    <row r="51" spans="5:9">
      <c r="E51" s="34" t="s">
        <v>181</v>
      </c>
      <c r="F51" s="35"/>
      <c r="G51" s="35"/>
      <c r="H51" s="35"/>
      <c r="I51" s="32"/>
    </row>
    <row r="52" spans="5:10">
      <c r="E52" s="36" t="str">
        <f>'Detallado de la inversión.'!C25</f>
        <v>Website landing + dominio + hosting</v>
      </c>
      <c r="F52" s="32"/>
      <c r="G52" s="37">
        <f>'Detallado de la inversión.'!E25</f>
        <v>1</v>
      </c>
      <c r="H52" s="37">
        <f>'Detallado de la inversión.'!F25</f>
        <v>800</v>
      </c>
      <c r="I52" s="37">
        <f>'Detallado de la inversión.'!G25</f>
        <v>800</v>
      </c>
      <c r="J52" s="39">
        <f>'Detallado de la inversión.'!H25</f>
        <v>0.00379578667678876</v>
      </c>
    </row>
    <row r="53" spans="5:10">
      <c r="E53" s="36" t="str">
        <f>'Detallado de la inversión.'!C26</f>
        <v>Brochures y material impreso B2B</v>
      </c>
      <c r="F53" s="32"/>
      <c r="G53" s="37">
        <f>'Detallado de la inversión.'!E26</f>
        <v>1</v>
      </c>
      <c r="H53" s="37">
        <f>'Detallado de la inversión.'!F26</f>
        <v>1000</v>
      </c>
      <c r="I53" s="37">
        <f>'Detallado de la inversión.'!G26</f>
        <v>1000</v>
      </c>
      <c r="J53" s="39">
        <f>'Detallado de la inversión.'!H26</f>
        <v>0.00474473334598596</v>
      </c>
    </row>
    <row r="54" spans="5:10">
      <c r="E54" s="36" t="str">
        <f>'Detallado de la inversión.'!C27</f>
        <v>Tablets demo farmacia</v>
      </c>
      <c r="F54" s="32"/>
      <c r="G54" s="37">
        <f>'Detallado de la inversión.'!E27</f>
        <v>4</v>
      </c>
      <c r="H54" s="37">
        <f>'Detallado de la inversión.'!F27</f>
        <v>350</v>
      </c>
      <c r="I54" s="37">
        <f>'Detallado de la inversión.'!G27</f>
        <v>1400</v>
      </c>
      <c r="J54" s="39">
        <f>'Detallado de la inversión.'!H27</f>
        <v>0.00664262668438034</v>
      </c>
    </row>
    <row r="55" spans="5:10">
      <c r="E55" s="36" t="str">
        <f>'Detallado de la inversión.'!C28</f>
        <v>Visitas comerciales pre-Day-D</v>
      </c>
      <c r="F55" s="32"/>
      <c r="G55" s="37">
        <f>'Detallado de la inversión.'!E28</f>
        <v>1</v>
      </c>
      <c r="H55" s="37">
        <f>'Detallado de la inversión.'!F28</f>
        <v>500</v>
      </c>
      <c r="I55" s="37">
        <f>'Detallado de la inversión.'!G28</f>
        <v>500</v>
      </c>
      <c r="J55" s="39">
        <f>'Detallado de la inversión.'!H28</f>
        <v>0.00237236667299298</v>
      </c>
    </row>
    <row r="56" spans="5:10">
      <c r="E56" s="36" t="str">
        <f>'Detallado de la inversión.'!C30</f>
        <v>Reservas operativas primer mes</v>
      </c>
      <c r="F56" s="32"/>
      <c r="G56" s="37">
        <f>'Detallado de la inversión.'!E30</f>
        <v>1</v>
      </c>
      <c r="H56" s="37">
        <f>'Detallado de la inversión.'!F30</f>
        <v>1000</v>
      </c>
      <c r="I56" s="37">
        <f>'Detallado de la inversión.'!G30</f>
        <v>1000</v>
      </c>
      <c r="J56" s="39">
        <f>'Detallado de la inversión.'!H30</f>
        <v>0.00474473334598596</v>
      </c>
    </row>
    <row r="57" spans="5:10">
      <c r="E57" s="36" t="str">
        <f>'Detallado de la inversión.'!C32</f>
        <v>Video pitch B2B farmacia (one-shot)</v>
      </c>
      <c r="F57" s="32"/>
      <c r="G57" s="37">
        <f>'Detallado de la inversión.'!E32</f>
        <v>1</v>
      </c>
      <c r="H57" s="37">
        <f>'Detallado de la inversión.'!F32</f>
        <v>800</v>
      </c>
      <c r="I57" s="37">
        <f>'Detallado de la inversión.'!G32</f>
        <v>800</v>
      </c>
      <c r="J57" s="39">
        <f>'Detallado de la inversión.'!H32</f>
        <v>0.00379578667678876</v>
      </c>
    </row>
    <row r="58" spans="5:10">
      <c r="E58" s="38" t="str">
        <f>'Detallado de la inversión.'!C33</f>
        <v>Subtotal intro mercado Lean</v>
      </c>
      <c r="I58" s="37">
        <f>'Detallado de la inversión.'!G33</f>
        <v>5640</v>
      </c>
      <c r="J58" s="39">
        <f>'Detallado de la inversión.'!H33</f>
        <v>0.0267602960713608</v>
      </c>
    </row>
    <row r="60" spans="5:9">
      <c r="E60" s="34" t="s">
        <v>182</v>
      </c>
      <c r="F60" s="35"/>
      <c r="G60" s="35"/>
      <c r="H60" s="35"/>
      <c r="I60" s="32"/>
    </row>
    <row r="61" spans="5:10">
      <c r="E61" s="36" t="str">
        <f>'Detallado de la inversión.'!C36</f>
        <v>Meta Ads pre-Day-D</v>
      </c>
      <c r="F61" s="32"/>
      <c r="G61" s="37">
        <f>'Detallado de la inversión.'!E36</f>
        <v>3</v>
      </c>
      <c r="H61" s="37">
        <f>'Detallado de la inversión.'!F36</f>
        <v>400</v>
      </c>
      <c r="I61" s="37">
        <f>'Detallado de la inversión.'!G36</f>
        <v>1200</v>
      </c>
      <c r="J61" s="39">
        <f>'Detallado de la inversión.'!H36</f>
        <v>0.00569368001518315</v>
      </c>
    </row>
    <row r="62" spans="5:10">
      <c r="E62" s="36" t="str">
        <f>'Detallado de la inversión.'!C37</f>
        <v>Material POP / señalética</v>
      </c>
      <c r="F62" s="32"/>
      <c r="G62" s="37">
        <f>'Detallado de la inversión.'!E37</f>
        <v>1</v>
      </c>
      <c r="H62" s="37">
        <f>'Detallado de la inversión.'!F37</f>
        <v>600</v>
      </c>
      <c r="I62" s="37">
        <f>'Detallado de la inversión.'!G37</f>
        <v>600</v>
      </c>
      <c r="J62" s="39">
        <f>'Detallado de la inversión.'!H37</f>
        <v>0.00284684000759157</v>
      </c>
    </row>
    <row r="63" spans="5:10">
      <c r="E63" s="36" t="str">
        <f>'Detallado de la inversión.'!C38</f>
        <v>Demos B2B adicionales</v>
      </c>
      <c r="F63" s="32"/>
      <c r="G63" s="37">
        <f>'Detallado de la inversión.'!E38</f>
        <v>1</v>
      </c>
      <c r="H63" s="37">
        <f>'Detallado de la inversión.'!F38</f>
        <v>450</v>
      </c>
      <c r="I63" s="37">
        <f>'Detallado de la inversión.'!G38</f>
        <v>450</v>
      </c>
      <c r="J63" s="39">
        <f>'Detallado de la inversión.'!H38</f>
        <v>0.00213513000569368</v>
      </c>
    </row>
    <row r="64" spans="5:10">
      <c r="E64" s="38" t="str">
        <f>'Detallado de la inversión.'!C39</f>
        <v>Subtotal marketing pre-lanzamiento Lean</v>
      </c>
      <c r="I64" s="37">
        <f>'Detallado de la inversión.'!G39</f>
        <v>2250</v>
      </c>
      <c r="J64" s="39">
        <f>'Detallado de la inversión.'!H39</f>
        <v>0.0106756500284684</v>
      </c>
    </row>
    <row r="66" spans="5:9">
      <c r="E66" s="34" t="s">
        <v>183</v>
      </c>
      <c r="F66" s="35"/>
      <c r="G66" s="35"/>
      <c r="H66" s="35"/>
      <c r="I66" s="32"/>
    </row>
    <row r="67" spans="5:10">
      <c r="E67" s="36" t="str">
        <f>'Detallado de la inversión.'!C112</f>
        <v>Impuestos varios</v>
      </c>
      <c r="F67" s="32"/>
      <c r="G67" s="36">
        <f>'Detallado de la inversión.'!E112</f>
        <v>0</v>
      </c>
      <c r="H67" s="37">
        <f>'Detallado de la inversión.'!F112</f>
        <v>200</v>
      </c>
      <c r="I67" s="37">
        <f>'Detallado de la inversión.'!G112</f>
        <v>200</v>
      </c>
      <c r="J67" s="39">
        <f>'Detallado de la inversión.'!H112</f>
        <v>0.000948946669197191</v>
      </c>
    </row>
    <row r="69" ht="26.85" customHeight="1" spans="5:5">
      <c r="E69" s="30" t="s">
        <v>184</v>
      </c>
    </row>
  </sheetData>
  <mergeCells count="56">
    <mergeCell ref="E1:I1"/>
    <mergeCell ref="L2:M2"/>
    <mergeCell ref="E3:I3"/>
    <mergeCell ref="E5:F5"/>
    <mergeCell ref="E6:I6"/>
    <mergeCell ref="E7:F7"/>
    <mergeCell ref="E8:F8"/>
    <mergeCell ref="E9:F9"/>
    <mergeCell ref="E10:F10"/>
    <mergeCell ref="E12:F12"/>
    <mergeCell ref="E14:I14"/>
    <mergeCell ref="E15:F15"/>
    <mergeCell ref="E16:F16"/>
    <mergeCell ref="E18:F18"/>
    <mergeCell ref="E20:I20"/>
    <mergeCell ref="E21:F21"/>
    <mergeCell ref="E22:F22"/>
    <mergeCell ref="E23:F23"/>
    <mergeCell ref="E24:F24"/>
    <mergeCell ref="E25:F25"/>
    <mergeCell ref="E26:F26"/>
    <mergeCell ref="E27:F27"/>
    <mergeCell ref="E28:F28"/>
    <mergeCell ref="E30:I30"/>
    <mergeCell ref="E31:F31"/>
    <mergeCell ref="E32:F32"/>
    <mergeCell ref="E33:F33"/>
    <mergeCell ref="E34:F34"/>
    <mergeCell ref="E36:I36"/>
    <mergeCell ref="E37:F37"/>
    <mergeCell ref="E39:J39"/>
    <mergeCell ref="E41:I41"/>
    <mergeCell ref="E42:F42"/>
    <mergeCell ref="E43:F43"/>
    <mergeCell ref="E44:F44"/>
    <mergeCell ref="E45:F45"/>
    <mergeCell ref="E46:F46"/>
    <mergeCell ref="E47:F47"/>
    <mergeCell ref="E48:F48"/>
    <mergeCell ref="E49:F49"/>
    <mergeCell ref="E51:I51"/>
    <mergeCell ref="E52:F52"/>
    <mergeCell ref="E53:F53"/>
    <mergeCell ref="E54:F54"/>
    <mergeCell ref="E55:F55"/>
    <mergeCell ref="E56:F56"/>
    <mergeCell ref="E57:F57"/>
    <mergeCell ref="E58:F58"/>
    <mergeCell ref="E60:I60"/>
    <mergeCell ref="E61:F61"/>
    <mergeCell ref="E62:F62"/>
    <mergeCell ref="E63:F63"/>
    <mergeCell ref="E64:F64"/>
    <mergeCell ref="E66:I66"/>
    <mergeCell ref="E67:F67"/>
    <mergeCell ref="E69:J69"/>
  </mergeCells>
  <pageMargins left="0.75" right="0.75" top="1" bottom="1" header="0.511811023622047" footer="0.511811023622047"/>
  <pageSetup paperSize="1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4"/>
  <sheetViews>
    <sheetView zoomScale="95" zoomScaleNormal="95" workbookViewId="0">
      <selection activeCell="A1" sqref="A1"/>
    </sheetView>
  </sheetViews>
  <sheetFormatPr defaultColWidth="8.66666666666667" defaultRowHeight="14.25" outlineLevelRow="3" outlineLevelCol="2"/>
  <cols>
    <col min="4" max="4" width="19.8833333333333" customWidth="1"/>
    <col min="5" max="5" width="22.8833333333333" customWidth="1"/>
  </cols>
  <sheetData>
    <row r="1" spans="3:3">
      <c r="C1" s="46" t="s">
        <v>101</v>
      </c>
    </row>
    <row r="2" spans="2:3">
      <c r="B2" s="3" t="s">
        <v>185</v>
      </c>
      <c r="C2" s="5">
        <v>800</v>
      </c>
    </row>
    <row r="3" spans="2:3">
      <c r="B3" s="3" t="s">
        <v>186</v>
      </c>
      <c r="C3" s="5">
        <v>500</v>
      </c>
    </row>
    <row r="4" spans="2:3">
      <c r="B4" s="3" t="s">
        <v>187</v>
      </c>
      <c r="C4" s="5">
        <v>350</v>
      </c>
    </row>
  </sheetData>
  <pageMargins left="0.75" right="0.75" top="1" bottom="1" header="0.511811023622047" footer="0.511811023622047"/>
  <pageSetup paperSize="1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3:W88"/>
  <sheetViews>
    <sheetView zoomScale="95" zoomScaleNormal="95" topLeftCell="A51" workbookViewId="0">
      <selection activeCell="O11" sqref="O11"/>
    </sheetView>
  </sheetViews>
  <sheetFormatPr defaultColWidth="8.66666666666667" defaultRowHeight="14.25"/>
  <cols>
    <col min="5" max="5" width="52.8833333333333" customWidth="1"/>
    <col min="6" max="6" width="13" customWidth="1"/>
    <col min="7" max="7" width="17.1083333333333" customWidth="1"/>
    <col min="8" max="8" width="17.5583333333333" customWidth="1"/>
    <col min="9" max="9" width="15.5583333333333" customWidth="1"/>
    <col min="10" max="10" width="12" customWidth="1"/>
    <col min="11" max="11" width="15.3333333333333" customWidth="1"/>
    <col min="13" max="13" width="28" customWidth="1"/>
    <col min="14" max="14" width="15.5583333333333" customWidth="1"/>
    <col min="15" max="15" width="12" customWidth="1"/>
    <col min="16" max="16" width="29.1083333333333" customWidth="1"/>
    <col min="17" max="18" width="12" customWidth="1"/>
    <col min="19" max="19" width="21.3333333333333" customWidth="1"/>
    <col min="20" max="20" width="12" customWidth="1"/>
    <col min="21" max="21" width="10" customWidth="1"/>
    <col min="22" max="23" width="12" customWidth="1"/>
  </cols>
  <sheetData>
    <row r="3" ht="15" customHeight="1" spans="5:5">
      <c r="E3" s="30" t="s">
        <v>188</v>
      </c>
    </row>
    <row r="7" ht="24.6" customHeight="1" spans="5:13">
      <c r="E7" s="31" t="s">
        <v>189</v>
      </c>
      <c r="M7" s="40" t="s">
        <v>190</v>
      </c>
    </row>
    <row r="8" ht="24" customHeight="1" spans="16:16">
      <c r="P8" s="41" t="s">
        <v>191</v>
      </c>
    </row>
    <row r="9" spans="5:19">
      <c r="E9" s="6" t="s">
        <v>2</v>
      </c>
      <c r="F9" s="32"/>
      <c r="G9" s="6" t="s">
        <v>7</v>
      </c>
      <c r="H9" s="6" t="s">
        <v>8</v>
      </c>
      <c r="I9" s="6" t="s">
        <v>149</v>
      </c>
      <c r="J9" s="6" t="s">
        <v>166</v>
      </c>
      <c r="K9" s="6" t="s">
        <v>192</v>
      </c>
      <c r="M9" s="6" t="s">
        <v>193</v>
      </c>
      <c r="O9" s="6" t="s">
        <v>194</v>
      </c>
      <c r="S9" s="6" t="s">
        <v>195</v>
      </c>
    </row>
    <row r="10" spans="5:19">
      <c r="E10" s="33" t="s">
        <v>196</v>
      </c>
      <c r="K10" s="39">
        <v>0.4</v>
      </c>
      <c r="M10" s="3" t="s">
        <v>197</v>
      </c>
      <c r="O10" s="5">
        <v>50</v>
      </c>
      <c r="S10" s="3" t="s">
        <v>198</v>
      </c>
    </row>
    <row r="11" spans="5:19">
      <c r="E11" s="34" t="s">
        <v>199</v>
      </c>
      <c r="F11" s="35"/>
      <c r="G11" s="35"/>
      <c r="H11" s="35"/>
      <c r="I11" s="32"/>
      <c r="M11" s="3" t="s">
        <v>200</v>
      </c>
      <c r="O11" s="5">
        <v>139</v>
      </c>
      <c r="S11" s="3" t="s">
        <v>198</v>
      </c>
    </row>
    <row r="12" spans="5:19">
      <c r="E12" s="36" t="str">
        <f>'Detallado de la inversión.'!C44</f>
        <v>CEO (1000/mes)</v>
      </c>
      <c r="F12" s="32"/>
      <c r="G12" s="37">
        <f>'Detallado de la inversión.'!E44</f>
        <v>3</v>
      </c>
      <c r="H12" s="37">
        <f>'Detallado de la inversión.'!F44</f>
        <v>1000</v>
      </c>
      <c r="I12" s="37">
        <f>'Detallado de la inversión.'!G44</f>
        <v>3000</v>
      </c>
      <c r="J12" s="39">
        <f>'Detallado de la inversión.'!H44</f>
        <v>0.0142342000379579</v>
      </c>
      <c r="K12" s="37">
        <f t="shared" ref="K12:K18" si="0">I12*(1+$K$10)</f>
        <v>4200</v>
      </c>
      <c r="M12" s="3" t="s">
        <v>201</v>
      </c>
      <c r="O12" s="4">
        <v>0.05</v>
      </c>
      <c r="P12" s="26" t="s">
        <v>202</v>
      </c>
      <c r="Q12" s="43"/>
      <c r="S12" s="3" t="s">
        <v>198</v>
      </c>
    </row>
    <row r="13" spans="5:19">
      <c r="E13" s="36" t="str">
        <f>'Detallado de la inversión.'!C46</f>
        <v>Co-CEO Head Sales&amp;Ops (1000/mes)</v>
      </c>
      <c r="F13" s="32"/>
      <c r="G13" s="37">
        <f>'Detallado de la inversión.'!E46</f>
        <v>3</v>
      </c>
      <c r="H13" s="37">
        <f>'Detallado de la inversión.'!F46</f>
        <v>1000</v>
      </c>
      <c r="I13" s="37">
        <f>'Detallado de la inversión.'!G46</f>
        <v>3000</v>
      </c>
      <c r="J13" s="39">
        <f>'Detallado de la inversión.'!H46</f>
        <v>0.0142342000379579</v>
      </c>
      <c r="K13" s="37">
        <f t="shared" si="0"/>
        <v>4200</v>
      </c>
      <c r="M13" s="3" t="s">
        <v>203</v>
      </c>
      <c r="O13" s="5">
        <v>1000</v>
      </c>
      <c r="P13" s="36" t="s">
        <v>204</v>
      </c>
      <c r="Q13" s="37" t="e">
        <v>#VALUE!</v>
      </c>
      <c r="S13" s="3" t="s">
        <v>198</v>
      </c>
    </row>
    <row r="14" spans="5:19">
      <c r="E14" s="36" t="str">
        <f>'Detallado de la inversión.'!C47</f>
        <v>Dev junior (Flutter/Laravel) (1000/mes)</v>
      </c>
      <c r="F14" s="32"/>
      <c r="G14" s="37">
        <f>'Detallado de la inversión.'!E47</f>
        <v>3</v>
      </c>
      <c r="H14" s="37">
        <f>'Detallado de la inversión.'!F47</f>
        <v>1000</v>
      </c>
      <c r="I14" s="37">
        <f>'Detallado de la inversión.'!G47</f>
        <v>3000</v>
      </c>
      <c r="J14" s="39">
        <f>'Detallado de la inversión.'!H47</f>
        <v>0.0142342000379579</v>
      </c>
      <c r="K14" s="37">
        <f t="shared" si="0"/>
        <v>4200</v>
      </c>
      <c r="M14" s="3" t="s">
        <v>205</v>
      </c>
      <c r="O14" s="5">
        <v>7.2</v>
      </c>
      <c r="P14" s="36" t="s">
        <v>206</v>
      </c>
      <c r="Q14" s="37">
        <f>H55</f>
        <v>0</v>
      </c>
      <c r="S14" s="3" t="s">
        <v>198</v>
      </c>
    </row>
    <row r="15" spans="5:19">
      <c r="E15" s="36" t="str">
        <f>'Detallado de la inversión.'!C48</f>
        <v>4× Sales B2B (350/mes c/u base)</v>
      </c>
      <c r="F15" s="32"/>
      <c r="G15" s="37">
        <f>'Detallado de la inversión.'!E48</f>
        <v>3</v>
      </c>
      <c r="H15" s="37">
        <f>'Detallado de la inversión.'!F48</f>
        <v>1400</v>
      </c>
      <c r="I15" s="37">
        <f>'Detallado de la inversión.'!G48</f>
        <v>4200</v>
      </c>
      <c r="J15" s="39">
        <f>'Detallado de la inversión.'!H48</f>
        <v>0.019927880053141</v>
      </c>
      <c r="K15" s="37">
        <f t="shared" si="0"/>
        <v>5880</v>
      </c>
      <c r="M15" s="3" t="s">
        <v>207</v>
      </c>
      <c r="O15" s="5">
        <v>2.8</v>
      </c>
      <c r="P15" s="36" t="s">
        <v>208</v>
      </c>
      <c r="Q15" s="37">
        <f>H55</f>
        <v>0</v>
      </c>
      <c r="S15" s="3" t="s">
        <v>198</v>
      </c>
    </row>
    <row r="16" spans="5:19">
      <c r="E16" s="36" t="str">
        <f>'Detallado de la inversión.'!C49</f>
        <v>CS + Community Manager (500/mes)</v>
      </c>
      <c r="F16" s="32"/>
      <c r="G16" s="37">
        <f>'Detallado de la inversión.'!E49</f>
        <v>3</v>
      </c>
      <c r="H16" s="37">
        <f>'Detallado de la inversión.'!F49</f>
        <v>500</v>
      </c>
      <c r="I16" s="37">
        <f>'Detallado de la inversión.'!G49</f>
        <v>1500</v>
      </c>
      <c r="J16" s="39">
        <f>'Detallado de la inversión.'!H49</f>
        <v>0.00711710001897893</v>
      </c>
      <c r="K16" s="37">
        <f t="shared" si="0"/>
        <v>2100</v>
      </c>
      <c r="M16" s="3" t="s">
        <v>209</v>
      </c>
      <c r="O16" s="4">
        <v>0.92</v>
      </c>
      <c r="P16" s="36" t="s">
        <v>210</v>
      </c>
      <c r="Q16" s="37" t="e">
        <f>SUM(Q13:Q15)</f>
        <v>#VALUE!</v>
      </c>
      <c r="S16" s="3" t="s">
        <v>198</v>
      </c>
    </row>
    <row r="17" spans="5:19">
      <c r="E17" s="36" t="str">
        <f>'Detallado de la inversión.'!C50</f>
        <v>Herramientas IA (425/mes)</v>
      </c>
      <c r="F17" s="32"/>
      <c r="G17" s="37">
        <f>'Detallado de la inversión.'!E50</f>
        <v>3</v>
      </c>
      <c r="H17" s="37">
        <f>'Detallado de la inversión.'!F50</f>
        <v>425</v>
      </c>
      <c r="I17" s="37">
        <f>'Detallado de la inversión.'!G50</f>
        <v>1275</v>
      </c>
      <c r="J17" s="39">
        <f>'Detallado de la inversión.'!H50</f>
        <v>0.00604953501613209</v>
      </c>
      <c r="K17" s="37">
        <f t="shared" si="0"/>
        <v>1785</v>
      </c>
      <c r="M17" s="3" t="s">
        <v>211</v>
      </c>
      <c r="O17" s="5">
        <v>25</v>
      </c>
      <c r="P17" s="26" t="s">
        <v>212</v>
      </c>
      <c r="Q17" s="43"/>
      <c r="S17" s="3" t="s">
        <v>213</v>
      </c>
    </row>
    <row r="18" spans="5:19">
      <c r="E18" s="36" t="str">
        <f>'Detallado de la inversión.'!C51</f>
        <v>Contador + Abogado (800/mes)</v>
      </c>
      <c r="F18" s="32"/>
      <c r="G18" s="37">
        <f>'Detallado de la inversión.'!E51</f>
        <v>3</v>
      </c>
      <c r="H18" s="37">
        <f>'Detallado de la inversión.'!F51</f>
        <v>800</v>
      </c>
      <c r="I18" s="37">
        <f>'Detallado de la inversión.'!G51</f>
        <v>2400</v>
      </c>
      <c r="J18" s="39">
        <f>'Detallado de la inversión.'!H51</f>
        <v>0.0113873600303663</v>
      </c>
      <c r="K18" s="37">
        <f t="shared" si="0"/>
        <v>3360</v>
      </c>
      <c r="M18" s="3" t="s">
        <v>214</v>
      </c>
      <c r="O18" s="5">
        <v>40</v>
      </c>
      <c r="P18" s="36" t="s">
        <v>204</v>
      </c>
      <c r="Q18" s="37" t="e">
        <v>#VALUE!</v>
      </c>
      <c r="S18" s="3" t="s">
        <v>213</v>
      </c>
    </row>
    <row r="19" spans="5:19">
      <c r="E19" s="38" t="str">
        <f>'Detallado de la inversión.'!C52</f>
        <v>Subtotal mano de obra Fase 0 (3 meses)</v>
      </c>
      <c r="I19" s="37">
        <f>'Detallado de la inversión.'!G52</f>
        <v>21375</v>
      </c>
      <c r="J19" s="39">
        <f>'Detallado de la inversión.'!H52</f>
        <v>0.10141867527045</v>
      </c>
      <c r="K19" s="37">
        <f>SUM(K12:K18)</f>
        <v>25725</v>
      </c>
      <c r="M19" s="3" t="s">
        <v>215</v>
      </c>
      <c r="O19" s="5">
        <v>55</v>
      </c>
      <c r="P19" s="36" t="s">
        <v>206</v>
      </c>
      <c r="Q19" s="37">
        <f>H55</f>
        <v>0</v>
      </c>
      <c r="S19" s="3" t="s">
        <v>213</v>
      </c>
    </row>
    <row r="20" spans="13:19">
      <c r="M20" s="3" t="s">
        <v>216</v>
      </c>
      <c r="O20" s="3" t="s">
        <v>217</v>
      </c>
      <c r="P20" s="36" t="s">
        <v>208</v>
      </c>
      <c r="Q20" s="37">
        <f>H55</f>
        <v>0</v>
      </c>
      <c r="S20" s="3" t="s">
        <v>218</v>
      </c>
    </row>
    <row r="21" spans="5:19">
      <c r="E21" s="33" t="s">
        <v>219</v>
      </c>
      <c r="K21" s="39">
        <v>0.3</v>
      </c>
      <c r="M21" s="3" t="s">
        <v>220</v>
      </c>
      <c r="O21" s="5">
        <v>159</v>
      </c>
      <c r="P21" s="36" t="s">
        <v>210</v>
      </c>
      <c r="Q21" s="37" t="e">
        <f>SUM(Q18:Q20)</f>
        <v>#VALUE!</v>
      </c>
      <c r="S21" s="3" t="s">
        <v>221</v>
      </c>
    </row>
    <row r="22" spans="5:17">
      <c r="E22" s="34" t="s">
        <v>222</v>
      </c>
      <c r="F22" s="35"/>
      <c r="G22" s="35"/>
      <c r="H22" s="35"/>
      <c r="I22" s="32"/>
      <c r="P22" s="26" t="s">
        <v>223</v>
      </c>
      <c r="Q22" s="43"/>
    </row>
    <row r="23" spans="5:17">
      <c r="E23" s="36" t="str">
        <f>'Detallado de la inversión.'!C57</f>
        <v>Visitas comerciales Valencia (combustible / terceros)</v>
      </c>
      <c r="F23" s="32"/>
      <c r="G23" s="37">
        <f>'Detallado de la inversión.'!E57</f>
        <v>5</v>
      </c>
      <c r="H23" s="37">
        <f>'Detallado de la inversión.'!F57</f>
        <v>200</v>
      </c>
      <c r="I23" s="37">
        <f>'Detallado de la inversión.'!G57</f>
        <v>1000</v>
      </c>
      <c r="J23" s="39">
        <f>'Detallado de la inversión.'!H57</f>
        <v>0.00474473334598596</v>
      </c>
      <c r="K23" s="37">
        <f>I23*(1+$K$21)</f>
        <v>1300</v>
      </c>
      <c r="M23" s="26" t="s">
        <v>224</v>
      </c>
      <c r="N23" s="26"/>
      <c r="O23" s="26"/>
      <c r="P23" s="26" t="s">
        <v>204</v>
      </c>
      <c r="Q23" s="44" t="e">
        <v>#VALUE!</v>
      </c>
    </row>
    <row r="24" spans="5:19">
      <c r="E24" s="36" t="str">
        <f>'Detallado de la inversión.'!C58</f>
        <v>Tablets — ver Intro (no duplicar)</v>
      </c>
      <c r="F24" s="32"/>
      <c r="G24" s="37">
        <f>'Detallado de la inversión.'!E58</f>
        <v>0</v>
      </c>
      <c r="H24" s="37">
        <f>'Detallado de la inversión.'!F58</f>
        <v>0</v>
      </c>
      <c r="I24" s="37">
        <f>'Detallado de la inversión.'!G58</f>
        <v>0</v>
      </c>
      <c r="J24" s="39" t="str">
        <f>'Detallado de la inversión.'!H58</f>
        <v/>
      </c>
      <c r="K24" s="37">
        <f>I24*(1+$K$21)</f>
        <v>0</v>
      </c>
      <c r="M24" s="3" t="s">
        <v>225</v>
      </c>
      <c r="O24" s="3" t="s">
        <v>226</v>
      </c>
      <c r="P24" s="36" t="s">
        <v>206</v>
      </c>
      <c r="Q24" s="37">
        <f>H55</f>
        <v>0</v>
      </c>
      <c r="S24" s="3" t="s">
        <v>227</v>
      </c>
    </row>
    <row r="25" spans="5:19">
      <c r="E25" s="36" t="str">
        <f>'Detallado de la inversión.'!C61</f>
        <v>Gira medios / eventos farmacia (opcional Lean)</v>
      </c>
      <c r="F25" s="32"/>
      <c r="G25" s="37">
        <f>'Detallado de la inversión.'!E61</f>
        <v>1</v>
      </c>
      <c r="H25" s="37">
        <f>'Detallado de la inversión.'!F61</f>
        <v>350</v>
      </c>
      <c r="I25" s="37">
        <f>'Detallado de la inversión.'!G61</f>
        <v>350</v>
      </c>
      <c r="J25" s="39">
        <f>'Detallado de la inversión.'!H61</f>
        <v>0.00166065667109508</v>
      </c>
      <c r="K25" s="37">
        <f>I25*(1+$K$21)</f>
        <v>455</v>
      </c>
      <c r="M25" s="3" t="s">
        <v>228</v>
      </c>
      <c r="O25" s="5">
        <v>111988</v>
      </c>
      <c r="P25" s="37" t="s">
        <v>208</v>
      </c>
      <c r="Q25" s="37">
        <f>H55</f>
        <v>0</v>
      </c>
      <c r="S25" s="5">
        <v>600000</v>
      </c>
    </row>
    <row r="26" spans="5:19">
      <c r="E26" s="38" t="str">
        <f>'Detallado de la inversión.'!C62</f>
        <v>Subtotal transporte referencia Fase 0</v>
      </c>
      <c r="I26" s="37">
        <f>'Detallado de la inversión.'!G62</f>
        <v>4270</v>
      </c>
      <c r="J26" s="39">
        <f>'Detallado de la inversión.'!H62</f>
        <v>0.02026001138736</v>
      </c>
      <c r="K26" s="37">
        <f>SUM(K23:K25)</f>
        <v>1755</v>
      </c>
      <c r="M26" s="3" t="s">
        <v>229</v>
      </c>
      <c r="O26" s="5">
        <v>111988</v>
      </c>
      <c r="P26" s="37" t="s">
        <v>210</v>
      </c>
      <c r="Q26" s="37" t="e">
        <f>SUM(Q23:Q25)</f>
        <v>#VALUE!</v>
      </c>
      <c r="S26" s="5">
        <v>600000</v>
      </c>
    </row>
    <row r="27" spans="13:19">
      <c r="M27" s="3" t="s">
        <v>230</v>
      </c>
      <c r="O27" s="5">
        <v>157268</v>
      </c>
      <c r="P27" s="5">
        <v>10898</v>
      </c>
      <c r="Q27" s="5">
        <v>159</v>
      </c>
      <c r="S27" s="5">
        <v>912814</v>
      </c>
    </row>
    <row r="28" spans="5:19">
      <c r="E28" s="33" t="s">
        <v>231</v>
      </c>
      <c r="K28" s="39">
        <v>0</v>
      </c>
      <c r="M28" s="3" t="s">
        <v>232</v>
      </c>
      <c r="O28" s="5">
        <v>187478</v>
      </c>
      <c r="P28" s="5">
        <v>12698</v>
      </c>
      <c r="Q28" s="5">
        <v>159</v>
      </c>
      <c r="S28" s="5">
        <v>1205345</v>
      </c>
    </row>
    <row r="29" spans="5:19">
      <c r="E29" s="34" t="s">
        <v>233</v>
      </c>
      <c r="F29" s="35"/>
      <c r="G29" s="35"/>
      <c r="H29" s="35"/>
      <c r="I29" s="32"/>
      <c r="M29" s="3" t="s">
        <v>234</v>
      </c>
      <c r="O29" s="5">
        <v>184878</v>
      </c>
      <c r="P29" s="5">
        <v>11998</v>
      </c>
      <c r="Q29" s="5">
        <v>238</v>
      </c>
      <c r="S29" s="5">
        <v>1287681</v>
      </c>
    </row>
    <row r="30" spans="5:11">
      <c r="E30" s="36" t="str">
        <f>'Detallado de la inversión.'!C11</f>
        <v>Registro Mercantil + acta constitutiva</v>
      </c>
      <c r="F30" s="32"/>
      <c r="G30" s="37">
        <f>'Detallado de la inversión.'!E11</f>
        <v>1</v>
      </c>
      <c r="H30" s="37">
        <f>'Detallado de la inversión.'!F11</f>
        <v>1200</v>
      </c>
      <c r="I30" s="37">
        <f>'Detallado de la inversión.'!G11</f>
        <v>1200</v>
      </c>
      <c r="J30" s="39">
        <f>'Detallado de la inversión.'!H11</f>
        <v>0.00569368001518315</v>
      </c>
      <c r="K30" s="37">
        <f t="shared" ref="K30:K36" si="1">I30*(1+$K$28)</f>
        <v>1200</v>
      </c>
    </row>
    <row r="31" spans="5:17">
      <c r="E31" s="36" t="str">
        <f>'Detallado de la inversión.'!C12</f>
        <v>SENIAT — inscripción / trámites RIF</v>
      </c>
      <c r="F31" s="32"/>
      <c r="G31" s="37">
        <f>'Detallado de la inversión.'!E12</f>
        <v>1</v>
      </c>
      <c r="H31" s="37">
        <f>'Detallado de la inversión.'!F12</f>
        <v>600</v>
      </c>
      <c r="I31" s="37">
        <f>'Detallado de la inversión.'!G12</f>
        <v>600</v>
      </c>
      <c r="J31" s="39">
        <f>'Detallado de la inversión.'!H12</f>
        <v>0.00284684000759157</v>
      </c>
      <c r="K31" s="37">
        <f t="shared" si="1"/>
        <v>600</v>
      </c>
      <c r="M31" s="26" t="s">
        <v>235</v>
      </c>
      <c r="N31" s="26"/>
      <c r="O31" s="26"/>
      <c r="P31" s="26"/>
      <c r="Q31" s="26"/>
    </row>
    <row r="32" spans="5:17">
      <c r="E32" s="36" t="str">
        <f>'Detallado de la inversión.'!C13</f>
        <v>Licencia / permisos municipales HQ</v>
      </c>
      <c r="F32" s="32"/>
      <c r="G32" s="37">
        <f>'Detallado de la inversión.'!E13</f>
        <v>1</v>
      </c>
      <c r="H32" s="37">
        <f>'Detallado de la inversión.'!F13</f>
        <v>1500</v>
      </c>
      <c r="I32" s="37">
        <f>'Detallado de la inversión.'!G13</f>
        <v>1500</v>
      </c>
      <c r="J32" s="39">
        <f>'Detallado de la inversión.'!H13</f>
        <v>0.00711710001897893</v>
      </c>
      <c r="K32" s="37">
        <f t="shared" si="1"/>
        <v>1500</v>
      </c>
      <c r="M32" s="3" t="s">
        <v>236</v>
      </c>
      <c r="O32" s="3" t="s">
        <v>237</v>
      </c>
      <c r="P32" s="3" t="s">
        <v>238</v>
      </c>
      <c r="Q32" s="3" t="s">
        <v>239</v>
      </c>
    </row>
    <row r="33" spans="5:17">
      <c r="E33" s="36" t="str">
        <f>'Detallado de la inversión.'!C14</f>
        <v>Permiso bomberos (local operativo)</v>
      </c>
      <c r="F33" s="32"/>
      <c r="G33" s="37">
        <f>'Detallado de la inversión.'!E14</f>
        <v>1</v>
      </c>
      <c r="H33" s="37">
        <f>'Detallado de la inversión.'!F14</f>
        <v>1100</v>
      </c>
      <c r="I33" s="37">
        <f>'Detallado de la inversión.'!G14</f>
        <v>1100</v>
      </c>
      <c r="J33" s="39">
        <f>'Detallado de la inversión.'!H14</f>
        <v>0.00521920668058455</v>
      </c>
      <c r="K33" s="37">
        <f t="shared" si="1"/>
        <v>1100</v>
      </c>
      <c r="M33" s="3" t="s">
        <v>240</v>
      </c>
      <c r="O33" s="5">
        <v>120</v>
      </c>
      <c r="P33" s="5">
        <v>40</v>
      </c>
      <c r="Q33" s="5">
        <v>25000</v>
      </c>
    </row>
    <row r="34" spans="5:17">
      <c r="E34" s="36" t="str">
        <f>'Detallado de la inversión.'!C15</f>
        <v>Apertura cuenta bancaria empresa</v>
      </c>
      <c r="F34" s="32"/>
      <c r="G34" s="37">
        <f>'Detallado de la inversión.'!E15</f>
        <v>1</v>
      </c>
      <c r="H34" s="37">
        <f>'Detallado de la inversión.'!F15</f>
        <v>100</v>
      </c>
      <c r="I34" s="37">
        <f>'Detallado de la inversión.'!G15</f>
        <v>100</v>
      </c>
      <c r="J34" s="39">
        <f>'Detallado de la inversión.'!H15</f>
        <v>0.000474473334598596</v>
      </c>
      <c r="K34" s="37">
        <f t="shared" si="1"/>
        <v>100</v>
      </c>
      <c r="M34" s="3" t="s">
        <v>241</v>
      </c>
      <c r="O34" s="5">
        <v>159</v>
      </c>
      <c r="P34" s="5">
        <v>50</v>
      </c>
      <c r="Q34" s="5">
        <v>40831</v>
      </c>
    </row>
    <row r="35" spans="5:17">
      <c r="E35" s="36" t="str">
        <f>'Detallado de la inversión.'!C16</f>
        <v>Sello digital + factura digital SENIAT</v>
      </c>
      <c r="F35" s="32"/>
      <c r="G35" s="37">
        <f>'Detallado de la inversión.'!E16</f>
        <v>1</v>
      </c>
      <c r="H35" s="37">
        <f>'Detallado de la inversión.'!F16</f>
        <v>200</v>
      </c>
      <c r="I35" s="37">
        <f>'Detallado de la inversión.'!G16</f>
        <v>200</v>
      </c>
      <c r="J35" s="39">
        <f>'Detallado de la inversión.'!H16</f>
        <v>0.000948946669197191</v>
      </c>
      <c r="K35" s="37">
        <f t="shared" si="1"/>
        <v>200</v>
      </c>
      <c r="M35" s="3" t="s">
        <v>242</v>
      </c>
      <c r="O35" s="5">
        <v>200</v>
      </c>
      <c r="P35" s="5">
        <v>55</v>
      </c>
      <c r="Q35" s="5">
        <v>52000</v>
      </c>
    </row>
    <row r="36" spans="5:17">
      <c r="E36" s="36" t="str">
        <f>'Detallado de la inversión.'!C17</f>
        <v>Registro marca SAPI (paralelo)</v>
      </c>
      <c r="F36" s="32"/>
      <c r="G36" s="37">
        <f>'Detallado de la inversión.'!E17</f>
        <v>1</v>
      </c>
      <c r="H36" s="37">
        <f>'Detallado de la inversión.'!F17</f>
        <v>350</v>
      </c>
      <c r="I36" s="37">
        <f>'Detallado de la inversión.'!G17</f>
        <v>350</v>
      </c>
      <c r="J36" s="39">
        <f>'Detallado de la inversión.'!H17</f>
        <v>0.00166065667109508</v>
      </c>
      <c r="K36" s="37">
        <f t="shared" si="1"/>
        <v>350</v>
      </c>
      <c r="M36" s="3" t="s">
        <v>243</v>
      </c>
      <c r="O36" s="5">
        <v>183</v>
      </c>
      <c r="P36" s="5">
        <v>50</v>
      </c>
      <c r="Q36" s="5">
        <v>49825</v>
      </c>
    </row>
    <row r="37" spans="5:17">
      <c r="E37" s="38" t="str">
        <f>'Detallado de la inversión.'!C18</f>
        <v>Subtotal constitución empresa</v>
      </c>
      <c r="I37" s="37">
        <f>'Detallado de la inversión.'!G18</f>
        <v>5050</v>
      </c>
      <c r="J37" s="39">
        <f>'Detallado de la inversión.'!H18</f>
        <v>0.0239609033972291</v>
      </c>
      <c r="K37" s="37">
        <f>SUM(K30:K36)</f>
        <v>5050</v>
      </c>
      <c r="M37" s="3" t="s">
        <v>244</v>
      </c>
      <c r="O37" s="5">
        <v>238</v>
      </c>
      <c r="P37" s="5">
        <v>50</v>
      </c>
      <c r="Q37" s="5">
        <v>87020</v>
      </c>
    </row>
    <row r="39" spans="5:11">
      <c r="E39" s="33" t="s">
        <v>245</v>
      </c>
      <c r="K39" s="39">
        <v>-0.5</v>
      </c>
    </row>
    <row r="40" spans="5:9">
      <c r="E40" s="34" t="s">
        <v>246</v>
      </c>
      <c r="F40" s="35"/>
      <c r="G40" s="35"/>
      <c r="H40" s="35"/>
      <c r="I40" s="32"/>
    </row>
    <row r="41" spans="5:11">
      <c r="E41" s="36" t="str">
        <f>'Detallado de la inversión.'!C25</f>
        <v>Website landing + dominio + hosting</v>
      </c>
      <c r="F41" s="32"/>
      <c r="G41" s="37">
        <f>'Detallado de la inversión.'!E25</f>
        <v>1</v>
      </c>
      <c r="H41" s="37">
        <f>'Detallado de la inversión.'!F25</f>
        <v>800</v>
      </c>
      <c r="I41" s="37">
        <f>'Detallado de la inversión.'!G25</f>
        <v>800</v>
      </c>
      <c r="J41" s="39">
        <f>'Detallado de la inversión.'!H25</f>
        <v>0.00379578667678876</v>
      </c>
      <c r="K41" s="37">
        <f t="shared" ref="K41:K47" si="2">I41*(1+$K$39)</f>
        <v>400</v>
      </c>
    </row>
    <row r="42" spans="5:11">
      <c r="E42" s="36" t="str">
        <f>'Detallado de la inversión.'!C26</f>
        <v>Brochures y material impreso B2B</v>
      </c>
      <c r="F42" s="32"/>
      <c r="G42" s="37">
        <f>'Detallado de la inversión.'!E26</f>
        <v>1</v>
      </c>
      <c r="H42" s="37">
        <f>'Detallado de la inversión.'!F26</f>
        <v>1000</v>
      </c>
      <c r="I42" s="37">
        <f>'Detallado de la inversión.'!G26</f>
        <v>1000</v>
      </c>
      <c r="J42" s="39">
        <f>'Detallado de la inversión.'!H26</f>
        <v>0.00474473334598596</v>
      </c>
      <c r="K42" s="37">
        <f t="shared" si="2"/>
        <v>500</v>
      </c>
    </row>
    <row r="43" spans="5:11">
      <c r="E43" s="36" t="str">
        <f>'Detallado de la inversión.'!C27</f>
        <v>Tablets demo farmacia</v>
      </c>
      <c r="F43" s="32"/>
      <c r="G43" s="37">
        <f>'Detallado de la inversión.'!E27</f>
        <v>4</v>
      </c>
      <c r="H43" s="37">
        <f>'Detallado de la inversión.'!F27</f>
        <v>350</v>
      </c>
      <c r="I43" s="37">
        <f>'Detallado de la inversión.'!G27</f>
        <v>1400</v>
      </c>
      <c r="J43" s="39">
        <f>'Detallado de la inversión.'!H27</f>
        <v>0.00664262668438034</v>
      </c>
      <c r="K43" s="37">
        <f t="shared" si="2"/>
        <v>700</v>
      </c>
    </row>
    <row r="44" spans="5:11">
      <c r="E44" s="36" t="str">
        <f>'Detallado de la inversión.'!C28</f>
        <v>Visitas comerciales pre-Day-D</v>
      </c>
      <c r="F44" s="32"/>
      <c r="G44" s="37">
        <f>'Detallado de la inversión.'!E28</f>
        <v>1</v>
      </c>
      <c r="H44" s="37">
        <f>'Detallado de la inversión.'!F28</f>
        <v>500</v>
      </c>
      <c r="I44" s="37">
        <f>'Detallado de la inversión.'!G28</f>
        <v>500</v>
      </c>
      <c r="J44" s="39">
        <f>'Detallado de la inversión.'!H28</f>
        <v>0.00237236667299298</v>
      </c>
      <c r="K44" s="37">
        <f t="shared" si="2"/>
        <v>250</v>
      </c>
    </row>
    <row r="45" spans="5:11">
      <c r="E45" s="36" t="str">
        <f>'Detallado de la inversión.'!C30</f>
        <v>Reservas operativas primer mes</v>
      </c>
      <c r="F45" s="32"/>
      <c r="G45" s="37">
        <f>'Detallado de la inversión.'!E30</f>
        <v>1</v>
      </c>
      <c r="H45" s="37">
        <f>'Detallado de la inversión.'!F30</f>
        <v>1000</v>
      </c>
      <c r="I45" s="37">
        <f>'Detallado de la inversión.'!G30</f>
        <v>1000</v>
      </c>
      <c r="J45" s="39">
        <f>'Detallado de la inversión.'!H30</f>
        <v>0.00474473334598596</v>
      </c>
      <c r="K45" s="37">
        <f t="shared" si="2"/>
        <v>500</v>
      </c>
    </row>
    <row r="46" spans="5:11">
      <c r="E46" s="36" t="str">
        <f>'Detallado de la inversión.'!C32</f>
        <v>Video pitch B2B farmacia (one-shot)</v>
      </c>
      <c r="F46" s="32"/>
      <c r="G46" s="37">
        <f>'Detallado de la inversión.'!E32</f>
        <v>1</v>
      </c>
      <c r="H46" s="37">
        <f>'Detallado de la inversión.'!F32</f>
        <v>800</v>
      </c>
      <c r="I46" s="37">
        <f>'Detallado de la inversión.'!G32</f>
        <v>800</v>
      </c>
      <c r="J46" s="39">
        <f>'Detallado de la inversión.'!H32</f>
        <v>0.00379578667678876</v>
      </c>
      <c r="K46" s="37">
        <f t="shared" si="2"/>
        <v>400</v>
      </c>
    </row>
    <row r="47" spans="5:11">
      <c r="E47" s="38" t="str">
        <f>'Detallado de la inversión.'!C33</f>
        <v>Subtotal intro mercado Lean</v>
      </c>
      <c r="I47" s="37">
        <f>'Detallado de la inversión.'!G33</f>
        <v>5640</v>
      </c>
      <c r="J47" s="39">
        <f>'Detallado de la inversión.'!H33</f>
        <v>0.0267602960713608</v>
      </c>
      <c r="K47" s="37">
        <f t="shared" si="2"/>
        <v>2820</v>
      </c>
    </row>
    <row r="49" spans="5:9">
      <c r="E49" s="34" t="s">
        <v>153</v>
      </c>
      <c r="F49" s="35"/>
      <c r="G49" s="35"/>
      <c r="H49" s="35"/>
      <c r="I49" s="32"/>
    </row>
    <row r="50" spans="5:11">
      <c r="E50" s="36" t="str">
        <f>'Detallado de la inversión.'!C36</f>
        <v>Meta Ads pre-Day-D</v>
      </c>
      <c r="F50" s="32"/>
      <c r="G50" s="37">
        <f>'Detallado de la inversión.'!E36</f>
        <v>3</v>
      </c>
      <c r="H50" s="37">
        <f>'Detallado de la inversión.'!F36</f>
        <v>400</v>
      </c>
      <c r="I50" s="37">
        <f>'Detallado de la inversión.'!G36</f>
        <v>1200</v>
      </c>
      <c r="J50" s="39">
        <f>'Detallado de la inversión.'!H36</f>
        <v>0.00569368001518315</v>
      </c>
      <c r="K50" s="37">
        <f>I50*(1+$K$39)</f>
        <v>600</v>
      </c>
    </row>
    <row r="51" spans="5:11">
      <c r="E51" s="36" t="str">
        <f>'Detallado de la inversión.'!C37</f>
        <v>Material POP / señalética</v>
      </c>
      <c r="F51" s="32"/>
      <c r="G51" s="37">
        <f>'Detallado de la inversión.'!E37</f>
        <v>1</v>
      </c>
      <c r="H51" s="37">
        <f>'Detallado de la inversión.'!F37</f>
        <v>600</v>
      </c>
      <c r="I51" s="37">
        <f>'Detallado de la inversión.'!G37</f>
        <v>600</v>
      </c>
      <c r="J51" s="39">
        <f>'Detallado de la inversión.'!H37</f>
        <v>0.00284684000759157</v>
      </c>
      <c r="K51" s="37">
        <f>I51*(1+$K$39)</f>
        <v>300</v>
      </c>
    </row>
    <row r="52" spans="5:11">
      <c r="E52" s="36" t="str">
        <f>'Detallado de la inversión.'!C38</f>
        <v>Demos B2B adicionales</v>
      </c>
      <c r="F52" s="32"/>
      <c r="G52" s="37">
        <f>'Detallado de la inversión.'!E38</f>
        <v>1</v>
      </c>
      <c r="H52" s="37">
        <f>'Detallado de la inversión.'!F38</f>
        <v>450</v>
      </c>
      <c r="I52" s="37">
        <f>'Detallado de la inversión.'!G38</f>
        <v>450</v>
      </c>
      <c r="J52" s="39">
        <f>'Detallado de la inversión.'!H38</f>
        <v>0.00213513000569368</v>
      </c>
      <c r="K52" s="37">
        <f>I52*(1+$K$39)</f>
        <v>225</v>
      </c>
    </row>
    <row r="53" spans="5:11">
      <c r="E53" s="38" t="str">
        <f>'Detallado de la inversión.'!C39</f>
        <v>Subtotal marketing pre-lanzamiento Lean</v>
      </c>
      <c r="I53" s="37">
        <f>'Detallado de la inversión.'!G39</f>
        <v>2250</v>
      </c>
      <c r="J53" s="39">
        <f>'Detallado de la inversión.'!H39</f>
        <v>0.0106756500284684</v>
      </c>
      <c r="K53" s="37">
        <f>SUM(K41:K52)</f>
        <v>6695</v>
      </c>
    </row>
    <row r="55" spans="5:11">
      <c r="E55" s="26" t="s">
        <v>247</v>
      </c>
      <c r="I55" s="37">
        <f>('Detallado de la inversión.'!G33+'Detallado de la inversión.'!G39)/3</f>
        <v>2630</v>
      </c>
      <c r="K55" s="37">
        <f>I55*(1+$K$39)</f>
        <v>1315</v>
      </c>
    </row>
    <row r="56" ht="15" customHeight="1" spans="5:5">
      <c r="E56" s="30" t="s">
        <v>248</v>
      </c>
    </row>
    <row r="58" spans="5:15">
      <c r="E58" s="26" t="s">
        <v>249</v>
      </c>
      <c r="F58" s="26"/>
      <c r="G58" s="26"/>
      <c r="H58" s="26"/>
      <c r="I58" s="26"/>
      <c r="J58" s="26"/>
      <c r="K58" s="26"/>
      <c r="O58" s="42" t="s">
        <v>250</v>
      </c>
    </row>
    <row r="59" spans="5:23">
      <c r="E59" s="3" t="s">
        <v>193</v>
      </c>
      <c r="I59" s="3" t="s">
        <v>251</v>
      </c>
      <c r="K59" s="3" t="s">
        <v>195</v>
      </c>
      <c r="O59" s="6" t="s">
        <v>252</v>
      </c>
      <c r="P59" s="6" t="s">
        <v>253</v>
      </c>
      <c r="Q59" s="6" t="s">
        <v>254</v>
      </c>
      <c r="R59" s="6" t="s">
        <v>255</v>
      </c>
      <c r="S59" s="6" t="s">
        <v>256</v>
      </c>
      <c r="T59" s="6" t="s">
        <v>257</v>
      </c>
      <c r="U59" s="6" t="s">
        <v>258</v>
      </c>
      <c r="V59" s="6" t="s">
        <v>259</v>
      </c>
      <c r="W59" s="6" t="s">
        <v>236</v>
      </c>
    </row>
    <row r="60" spans="5:23">
      <c r="E60" s="3" t="s">
        <v>105</v>
      </c>
      <c r="I60" s="5">
        <v>600</v>
      </c>
      <c r="K60" s="3" t="s">
        <v>260</v>
      </c>
      <c r="O60" s="37">
        <v>1</v>
      </c>
      <c r="P60" s="37">
        <f>IF(Q60=0,0,'Año 1 escenario 1'!C42/Q60)</f>
        <v>260.275</v>
      </c>
      <c r="Q60" s="37">
        <f>'Año 1 escenario 1'!C19</f>
        <v>40</v>
      </c>
      <c r="R60" s="37">
        <f>'Año 1 escenario 1'!C42</f>
        <v>10411</v>
      </c>
      <c r="S60" s="37">
        <f>IF(Q60=0,0,'Año 1 escenario 1'!C25/Q60)</f>
        <v>299</v>
      </c>
      <c r="T60" s="37">
        <f>'Año 1 escenario 1'!C25</f>
        <v>11960</v>
      </c>
      <c r="U60" s="37">
        <f t="shared" ref="U60:U71" si="3">S60-P60</f>
        <v>38.725</v>
      </c>
      <c r="V60" s="37">
        <f>'Año 1 escenario 1'!C44</f>
        <v>1549</v>
      </c>
      <c r="W60" s="36" t="s">
        <v>241</v>
      </c>
    </row>
    <row r="61" spans="5:23">
      <c r="E61" s="3" t="s">
        <v>106</v>
      </c>
      <c r="I61" s="5">
        <v>1400</v>
      </c>
      <c r="K61" s="3" t="s">
        <v>261</v>
      </c>
      <c r="O61" s="37">
        <v>2</v>
      </c>
      <c r="P61" s="37">
        <f>IF(Q61=0,0,'Año 1 escenario 1'!D42/Q61)</f>
        <v>204.137254901961</v>
      </c>
      <c r="Q61" s="37">
        <f>'Año 1 escenario 1'!D19</f>
        <v>51</v>
      </c>
      <c r="R61" s="37">
        <f>'Año 1 escenario 1'!D42</f>
        <v>10411</v>
      </c>
      <c r="S61" s="37">
        <f>IF(Q61=0,0,'Año 1 escenario 1'!D25/Q61)</f>
        <v>299</v>
      </c>
      <c r="T61" s="37">
        <f>'Año 1 escenario 1'!D25</f>
        <v>15249</v>
      </c>
      <c r="U61" s="37">
        <f t="shared" si="3"/>
        <v>94.8627450980392</v>
      </c>
      <c r="V61" s="37">
        <f>'Año 1 escenario 1'!D44</f>
        <v>4838</v>
      </c>
      <c r="W61" s="36" t="s">
        <v>241</v>
      </c>
    </row>
    <row r="62" spans="5:23">
      <c r="E62" s="3" t="s">
        <v>107</v>
      </c>
      <c r="I62" s="5">
        <v>400</v>
      </c>
      <c r="O62" s="37">
        <v>3</v>
      </c>
      <c r="P62" s="37">
        <f>IF(Q62=0,0,'Año 1 escenario 1'!E42/Q62)</f>
        <v>173.338709677419</v>
      </c>
      <c r="Q62" s="37">
        <f>'Año 1 escenario 1'!E19</f>
        <v>62</v>
      </c>
      <c r="R62" s="37">
        <f>'Año 1 escenario 1'!E42</f>
        <v>10747</v>
      </c>
      <c r="S62" s="37">
        <f>IF(Q62=0,0,'Año 1 escenario 1'!E25/Q62)</f>
        <v>299</v>
      </c>
      <c r="T62" s="37">
        <f>'Año 1 escenario 1'!E25</f>
        <v>18538</v>
      </c>
      <c r="U62" s="37">
        <f t="shared" si="3"/>
        <v>125.661290322581</v>
      </c>
      <c r="V62" s="37">
        <f>'Año 1 escenario 1'!E44</f>
        <v>7791</v>
      </c>
      <c r="W62" s="36" t="s">
        <v>241</v>
      </c>
    </row>
    <row r="63" spans="5:23">
      <c r="E63" s="3" t="s">
        <v>262</v>
      </c>
      <c r="I63" s="5">
        <v>2000</v>
      </c>
      <c r="O63" s="37">
        <v>4</v>
      </c>
      <c r="P63" s="37">
        <f>IF(Q63=0,0,'Año 1 escenario 1'!F42/Q63)</f>
        <v>145.22972972973</v>
      </c>
      <c r="Q63" s="37">
        <f>'Año 1 escenario 1'!F19</f>
        <v>74</v>
      </c>
      <c r="R63" s="37">
        <f>'Año 1 escenario 1'!F42</f>
        <v>10747</v>
      </c>
      <c r="S63" s="37">
        <f>IF(Q63=0,0,'Año 1 escenario 1'!F25/Q63)</f>
        <v>299</v>
      </c>
      <c r="T63" s="37">
        <f>'Año 1 escenario 1'!F25</f>
        <v>22126</v>
      </c>
      <c r="U63" s="37">
        <f t="shared" si="3"/>
        <v>153.77027027027</v>
      </c>
      <c r="V63" s="37">
        <f>'Año 1 escenario 1'!F44</f>
        <v>11379</v>
      </c>
      <c r="W63" s="36" t="s">
        <v>241</v>
      </c>
    </row>
    <row r="64" spans="5:23">
      <c r="E64" s="3" t="s">
        <v>108</v>
      </c>
      <c r="I64" s="5">
        <v>425</v>
      </c>
      <c r="O64" s="37">
        <v>5</v>
      </c>
      <c r="P64" s="37">
        <f>IF(Q64=0,0,'Año 1 escenario 1'!G42/Q64)</f>
        <v>126.435294117647</v>
      </c>
      <c r="Q64" s="37">
        <f>'Año 1 escenario 1'!G19</f>
        <v>85</v>
      </c>
      <c r="R64" s="37">
        <f>'Año 1 escenario 1'!G42</f>
        <v>10747</v>
      </c>
      <c r="S64" s="37">
        <f>IF(Q64=0,0,'Año 1 escenario 1'!G25/Q64)</f>
        <v>299</v>
      </c>
      <c r="T64" s="37">
        <f>'Año 1 escenario 1'!G25</f>
        <v>25415</v>
      </c>
      <c r="U64" s="37">
        <f t="shared" si="3"/>
        <v>172.564705882353</v>
      </c>
      <c r="V64" s="37">
        <f>'Año 1 escenario 1'!G44</f>
        <v>14668</v>
      </c>
      <c r="W64" s="36" t="s">
        <v>241</v>
      </c>
    </row>
    <row r="65" spans="5:23">
      <c r="E65" s="3" t="s">
        <v>109</v>
      </c>
      <c r="I65" s="5">
        <v>330</v>
      </c>
      <c r="O65" s="37">
        <v>6</v>
      </c>
      <c r="P65" s="37">
        <f>IF(Q65=0,0,'Año 1 escenario 1'!H42/Q65)</f>
        <v>110.79381443299</v>
      </c>
      <c r="Q65" s="37">
        <f>'Año 1 escenario 1'!H19</f>
        <v>97</v>
      </c>
      <c r="R65" s="37">
        <f>'Año 1 escenario 1'!H42</f>
        <v>10747</v>
      </c>
      <c r="S65" s="37">
        <f>IF(Q65=0,0,'Año 1 escenario 1'!H25/Q65)</f>
        <v>299</v>
      </c>
      <c r="T65" s="37">
        <f>'Año 1 escenario 1'!H25</f>
        <v>29003</v>
      </c>
      <c r="U65" s="37">
        <f t="shared" si="3"/>
        <v>188.20618556701</v>
      </c>
      <c r="V65" s="37">
        <f>'Año 1 escenario 1'!H44</f>
        <v>18256</v>
      </c>
      <c r="W65" s="36" t="s">
        <v>241</v>
      </c>
    </row>
    <row r="66" spans="5:23">
      <c r="E66" s="3" t="s">
        <v>263</v>
      </c>
      <c r="I66" s="5">
        <v>500</v>
      </c>
      <c r="O66" s="37">
        <v>7</v>
      </c>
      <c r="P66" s="37">
        <f>IF(Q66=0,0,'Año 1 escenario 1'!I42/Q66)</f>
        <v>96.1111111111111</v>
      </c>
      <c r="Q66" s="37">
        <f>'Año 1 escenario 1'!I19</f>
        <v>108</v>
      </c>
      <c r="R66" s="37">
        <f>'Año 1 escenario 1'!I42</f>
        <v>10380</v>
      </c>
      <c r="S66" s="37">
        <f>IF(Q66=0,0,'Año 1 escenario 1'!I25/Q66)</f>
        <v>299</v>
      </c>
      <c r="T66" s="37">
        <f>'Año 1 escenario 1'!I25</f>
        <v>32292</v>
      </c>
      <c r="U66" s="37">
        <f t="shared" si="3"/>
        <v>202.888888888889</v>
      </c>
      <c r="V66" s="37">
        <f>'Año 1 escenario 1'!I44</f>
        <v>21912</v>
      </c>
      <c r="W66" s="36" t="s">
        <v>241</v>
      </c>
    </row>
    <row r="67" spans="5:23">
      <c r="E67" s="3" t="s">
        <v>115</v>
      </c>
      <c r="I67" s="5">
        <v>80</v>
      </c>
      <c r="K67" s="3" t="s">
        <v>264</v>
      </c>
      <c r="O67" s="37">
        <v>8</v>
      </c>
      <c r="P67" s="37">
        <f>IF(Q67=0,0,'Año 1 escenario 1'!J42/Q67)</f>
        <v>87.2268907563025</v>
      </c>
      <c r="Q67" s="37">
        <f>'Año 1 escenario 1'!J19</f>
        <v>119</v>
      </c>
      <c r="R67" s="37">
        <f>'Año 1 escenario 1'!J42</f>
        <v>10380</v>
      </c>
      <c r="S67" s="37">
        <f>IF(Q67=0,0,'Año 1 escenario 1'!J25/Q67)</f>
        <v>299</v>
      </c>
      <c r="T67" s="37">
        <f>'Año 1 escenario 1'!J25</f>
        <v>35581</v>
      </c>
      <c r="U67" s="37">
        <f t="shared" si="3"/>
        <v>211.773109243697</v>
      </c>
      <c r="V67" s="37">
        <f>'Año 1 escenario 1'!J44</f>
        <v>25201</v>
      </c>
      <c r="W67" s="36" t="s">
        <v>241</v>
      </c>
    </row>
    <row r="68" spans="5:23">
      <c r="E68" s="3" t="s">
        <v>265</v>
      </c>
      <c r="I68" s="5">
        <v>154</v>
      </c>
      <c r="K68" s="3" t="s">
        <v>264</v>
      </c>
      <c r="O68" s="37">
        <v>9</v>
      </c>
      <c r="P68" s="37">
        <f>IF(Q68=0,0,'Año 1 escenario 1'!K42/Q68)</f>
        <v>79.8461538461538</v>
      </c>
      <c r="Q68" s="37">
        <f>'Año 1 escenario 1'!K19</f>
        <v>130</v>
      </c>
      <c r="R68" s="37">
        <f>'Año 1 escenario 1'!K42</f>
        <v>10380</v>
      </c>
      <c r="S68" s="37">
        <f>IF(Q68=0,0,'Año 1 escenario 1'!K25/Q68)</f>
        <v>299</v>
      </c>
      <c r="T68" s="37">
        <f>'Año 1 escenario 1'!K25</f>
        <v>38870</v>
      </c>
      <c r="U68" s="37">
        <f t="shared" si="3"/>
        <v>219.153846153846</v>
      </c>
      <c r="V68" s="37">
        <f>'Año 1 escenario 1'!K44</f>
        <v>28490</v>
      </c>
      <c r="W68" s="36" t="s">
        <v>241</v>
      </c>
    </row>
    <row r="69" spans="5:23">
      <c r="E69" s="3" t="s">
        <v>123</v>
      </c>
      <c r="I69" s="5">
        <v>650</v>
      </c>
      <c r="K69" s="3" t="s">
        <v>266</v>
      </c>
      <c r="O69" s="37">
        <v>10</v>
      </c>
      <c r="P69" s="37">
        <f>IF(Q69=0,0,'Año 1 escenario 1'!L42/Q69)</f>
        <v>73.6170212765958</v>
      </c>
      <c r="Q69" s="37">
        <f>'Año 1 escenario 1'!L19</f>
        <v>141</v>
      </c>
      <c r="R69" s="37">
        <f>'Año 1 escenario 1'!L42</f>
        <v>10380</v>
      </c>
      <c r="S69" s="37">
        <f>IF(Q69=0,0,'Año 1 escenario 1'!L25/Q69)</f>
        <v>299</v>
      </c>
      <c r="T69" s="37">
        <f>'Año 1 escenario 1'!L25</f>
        <v>42159</v>
      </c>
      <c r="U69" s="37">
        <f t="shared" si="3"/>
        <v>225.382978723404</v>
      </c>
      <c r="V69" s="37">
        <f>'Año 1 escenario 1'!L44</f>
        <v>31779</v>
      </c>
      <c r="W69" s="36" t="s">
        <v>241</v>
      </c>
    </row>
    <row r="70" spans="5:23">
      <c r="E70" s="3" t="s">
        <v>125</v>
      </c>
      <c r="I70" s="5">
        <v>292</v>
      </c>
      <c r="O70" s="37">
        <v>11</v>
      </c>
      <c r="P70" s="37">
        <f>IF(Q70=0,0,'Año 1 escenario 1'!M42/Q70)</f>
        <v>68.7417218543046</v>
      </c>
      <c r="Q70" s="37">
        <f>'Año 1 escenario 1'!M19</f>
        <v>151</v>
      </c>
      <c r="R70" s="37">
        <f>'Año 1 escenario 1'!M42</f>
        <v>10380</v>
      </c>
      <c r="S70" s="37">
        <f>IF(Q70=0,0,'Año 1 escenario 1'!M25/Q70)</f>
        <v>299</v>
      </c>
      <c r="T70" s="37">
        <f>'Año 1 escenario 1'!M25</f>
        <v>45149</v>
      </c>
      <c r="U70" s="37">
        <f t="shared" si="3"/>
        <v>230.258278145695</v>
      </c>
      <c r="V70" s="37">
        <f>'Año 1 escenario 1'!M44</f>
        <v>34769</v>
      </c>
      <c r="W70" s="36" t="s">
        <v>241</v>
      </c>
    </row>
    <row r="71" spans="5:23">
      <c r="E71" s="3" t="s">
        <v>267</v>
      </c>
      <c r="I71" s="5">
        <v>1277</v>
      </c>
      <c r="K71" s="3" t="s">
        <v>268</v>
      </c>
      <c r="O71" s="37">
        <v>12</v>
      </c>
      <c r="P71" s="37">
        <f>IF(Q71=0,0,'Año 1 escenario 1'!N42/Q71)</f>
        <v>65.2830188679245</v>
      </c>
      <c r="Q71" s="37">
        <f>'Año 1 escenario 1'!N19</f>
        <v>159</v>
      </c>
      <c r="R71" s="37">
        <f>'Año 1 escenario 1'!N42</f>
        <v>10380</v>
      </c>
      <c r="S71" s="37">
        <f>IF(Q71=0,0,'Año 1 escenario 1'!N25/Q71)</f>
        <v>299</v>
      </c>
      <c r="T71" s="37">
        <f>'Año 1 escenario 1'!N25</f>
        <v>47541</v>
      </c>
      <c r="U71" s="37">
        <f t="shared" si="3"/>
        <v>233.716981132075</v>
      </c>
      <c r="V71" s="37">
        <f>'Año 1 escenario 1'!N44</f>
        <v>37161</v>
      </c>
      <c r="W71" s="36" t="s">
        <v>241</v>
      </c>
    </row>
    <row r="72" spans="5:22">
      <c r="E72" s="45" t="s">
        <v>130</v>
      </c>
      <c r="I72" s="5">
        <v>617</v>
      </c>
      <c r="K72" s="3" t="s">
        <v>269</v>
      </c>
      <c r="O72" s="46" t="s">
        <v>270</v>
      </c>
      <c r="V72" s="5">
        <f>SUM(V60:V71)</f>
        <v>237793</v>
      </c>
    </row>
    <row r="73" spans="5:9">
      <c r="E73" s="46" t="s">
        <v>271</v>
      </c>
      <c r="I73" s="5">
        <f>SUM(I60:I70)+I71</f>
        <v>8108</v>
      </c>
    </row>
    <row r="74" spans="5:15">
      <c r="E74" s="46" t="s">
        <v>272</v>
      </c>
      <c r="O74" s="46" t="s">
        <v>273</v>
      </c>
    </row>
    <row r="75" spans="5:22">
      <c r="E75" s="3" t="s">
        <v>274</v>
      </c>
      <c r="O75" s="3" t="s">
        <v>252</v>
      </c>
      <c r="Q75" s="3" t="s">
        <v>275</v>
      </c>
      <c r="R75" s="3" t="s">
        <v>276</v>
      </c>
      <c r="S75" s="3" t="s">
        <v>238</v>
      </c>
      <c r="T75" s="3" t="s">
        <v>277</v>
      </c>
      <c r="V75" s="3" t="s">
        <v>278</v>
      </c>
    </row>
    <row r="76" spans="5:23">
      <c r="E76" s="47" t="s">
        <v>279</v>
      </c>
      <c r="O76" s="5">
        <v>1</v>
      </c>
      <c r="Q76" s="5">
        <f>'Año 1 escenario 1'!C19</f>
        <v>40</v>
      </c>
      <c r="R76" s="5">
        <f>'Año 1 escenario 1'!C42</f>
        <v>10411</v>
      </c>
      <c r="S76" s="5">
        <v>40</v>
      </c>
      <c r="T76" s="5">
        <f t="shared" ref="T76:T87" si="4">Q76*S76</f>
        <v>1600</v>
      </c>
      <c r="V76" s="5">
        <f t="shared" ref="V76:V87" si="5">T76-R76</f>
        <v>-8811</v>
      </c>
      <c r="W76" t="s">
        <v>280</v>
      </c>
    </row>
    <row r="77" spans="15:23">
      <c r="O77" s="5">
        <v>2</v>
      </c>
      <c r="Q77" s="5">
        <f>'Año 1 escenario 1'!D19</f>
        <v>51</v>
      </c>
      <c r="R77" s="5">
        <f>'Año 1 escenario 1'!D42</f>
        <v>10411</v>
      </c>
      <c r="S77" s="5">
        <v>40</v>
      </c>
      <c r="T77" s="5">
        <f t="shared" si="4"/>
        <v>2040</v>
      </c>
      <c r="V77" s="5">
        <f t="shared" si="5"/>
        <v>-8371</v>
      </c>
      <c r="W77" t="s">
        <v>280</v>
      </c>
    </row>
    <row r="78" spans="15:23">
      <c r="O78" s="5">
        <v>3</v>
      </c>
      <c r="Q78" s="5">
        <f>'Año 1 escenario 1'!E19</f>
        <v>62</v>
      </c>
      <c r="R78" s="5">
        <f>'Año 1 escenario 1'!E42</f>
        <v>10747</v>
      </c>
      <c r="S78" s="5">
        <v>40</v>
      </c>
      <c r="T78" s="5">
        <f t="shared" si="4"/>
        <v>2480</v>
      </c>
      <c r="V78" s="5">
        <f t="shared" si="5"/>
        <v>-8267</v>
      </c>
      <c r="W78" t="s">
        <v>280</v>
      </c>
    </row>
    <row r="79" spans="15:23">
      <c r="O79" s="5">
        <v>4</v>
      </c>
      <c r="Q79" s="5">
        <f>'Año 1 escenario 1'!F19</f>
        <v>74</v>
      </c>
      <c r="R79" s="5">
        <f>'Año 1 escenario 1'!F42</f>
        <v>10747</v>
      </c>
      <c r="S79" s="5">
        <v>40</v>
      </c>
      <c r="T79" s="5">
        <f t="shared" si="4"/>
        <v>2960</v>
      </c>
      <c r="V79" s="5">
        <f t="shared" si="5"/>
        <v>-7787</v>
      </c>
      <c r="W79" t="s">
        <v>280</v>
      </c>
    </row>
    <row r="80" spans="15:23">
      <c r="O80" s="5">
        <v>5</v>
      </c>
      <c r="Q80" s="5">
        <f>'Año 1 escenario 1'!G19</f>
        <v>85</v>
      </c>
      <c r="R80" s="5">
        <f>'Año 1 escenario 1'!G42</f>
        <v>10747</v>
      </c>
      <c r="S80" s="5">
        <v>40</v>
      </c>
      <c r="T80" s="5">
        <f t="shared" si="4"/>
        <v>3400</v>
      </c>
      <c r="V80" s="5">
        <f t="shared" si="5"/>
        <v>-7347</v>
      </c>
      <c r="W80" t="s">
        <v>280</v>
      </c>
    </row>
    <row r="81" spans="15:23">
      <c r="O81" s="5">
        <v>6</v>
      </c>
      <c r="Q81" s="5">
        <f>'Año 1 escenario 1'!H19</f>
        <v>97</v>
      </c>
      <c r="R81" s="5">
        <f>'Año 1 escenario 1'!H42</f>
        <v>10747</v>
      </c>
      <c r="S81" s="5">
        <v>40</v>
      </c>
      <c r="T81" s="5">
        <f t="shared" si="4"/>
        <v>3880</v>
      </c>
      <c r="V81" s="5">
        <f t="shared" si="5"/>
        <v>-6867</v>
      </c>
      <c r="W81" t="s">
        <v>280</v>
      </c>
    </row>
    <row r="82" spans="15:23">
      <c r="O82" s="5">
        <v>7</v>
      </c>
      <c r="Q82" s="5">
        <f>'Año 1 escenario 1'!I19</f>
        <v>108</v>
      </c>
      <c r="R82" s="5">
        <f>'Año 1 escenario 1'!I42</f>
        <v>10380</v>
      </c>
      <c r="S82" s="5">
        <v>40</v>
      </c>
      <c r="T82" s="5">
        <f t="shared" si="4"/>
        <v>4320</v>
      </c>
      <c r="V82" s="5">
        <f t="shared" si="5"/>
        <v>-6060</v>
      </c>
      <c r="W82" t="s">
        <v>280</v>
      </c>
    </row>
    <row r="83" spans="15:23">
      <c r="O83" s="5">
        <v>8</v>
      </c>
      <c r="Q83" s="5">
        <f>'Año 1 escenario 1'!J19</f>
        <v>119</v>
      </c>
      <c r="R83" s="5">
        <f>'Año 1 escenario 1'!J42</f>
        <v>10380</v>
      </c>
      <c r="S83" s="5">
        <v>40</v>
      </c>
      <c r="T83" s="5">
        <f t="shared" si="4"/>
        <v>4760</v>
      </c>
      <c r="V83" s="5">
        <f t="shared" si="5"/>
        <v>-5620</v>
      </c>
      <c r="W83" t="s">
        <v>280</v>
      </c>
    </row>
    <row r="84" spans="15:23">
      <c r="O84" s="5">
        <v>9</v>
      </c>
      <c r="Q84" s="5">
        <f>'Año 1 escenario 1'!K19</f>
        <v>130</v>
      </c>
      <c r="R84" s="5">
        <f>'Año 1 escenario 1'!K42</f>
        <v>10380</v>
      </c>
      <c r="S84" s="5">
        <v>40</v>
      </c>
      <c r="T84" s="5">
        <f t="shared" si="4"/>
        <v>5200</v>
      </c>
      <c r="V84" s="5">
        <f t="shared" si="5"/>
        <v>-5180</v>
      </c>
      <c r="W84" t="s">
        <v>280</v>
      </c>
    </row>
    <row r="85" spans="15:23">
      <c r="O85" s="5">
        <v>10</v>
      </c>
      <c r="Q85" s="5">
        <f>'Año 1 escenario 1'!L19</f>
        <v>141</v>
      </c>
      <c r="R85" s="5">
        <f>'Año 1 escenario 1'!L42</f>
        <v>10380</v>
      </c>
      <c r="S85" s="5">
        <v>40</v>
      </c>
      <c r="T85" s="5">
        <f t="shared" si="4"/>
        <v>5640</v>
      </c>
      <c r="V85" s="5">
        <f t="shared" si="5"/>
        <v>-4740</v>
      </c>
      <c r="W85" t="s">
        <v>280</v>
      </c>
    </row>
    <row r="86" spans="15:23">
      <c r="O86" s="5">
        <v>11</v>
      </c>
      <c r="Q86" s="5">
        <f>'Año 1 escenario 1'!M19</f>
        <v>151</v>
      </c>
      <c r="R86" s="5">
        <f>'Año 1 escenario 1'!M42</f>
        <v>10380</v>
      </c>
      <c r="S86" s="5">
        <v>40</v>
      </c>
      <c r="T86" s="5">
        <f t="shared" si="4"/>
        <v>6040</v>
      </c>
      <c r="V86" s="5">
        <f t="shared" si="5"/>
        <v>-4340</v>
      </c>
      <c r="W86" t="s">
        <v>280</v>
      </c>
    </row>
    <row r="87" spans="15:23">
      <c r="O87" s="5">
        <v>12</v>
      </c>
      <c r="Q87" s="5">
        <f>'Año 1 escenario 1'!N19</f>
        <v>159</v>
      </c>
      <c r="R87" s="5">
        <f>'Año 1 escenario 1'!N42</f>
        <v>10380</v>
      </c>
      <c r="S87" s="5">
        <v>40</v>
      </c>
      <c r="T87" s="5">
        <f t="shared" si="4"/>
        <v>6360</v>
      </c>
      <c r="V87" s="5">
        <f t="shared" si="5"/>
        <v>-4020</v>
      </c>
      <c r="W87" t="s">
        <v>280</v>
      </c>
    </row>
    <row r="88" spans="15:22">
      <c r="O88" s="46" t="s">
        <v>281</v>
      </c>
      <c r="V88" s="5">
        <f>SUM(V76:V87)</f>
        <v>-77410</v>
      </c>
    </row>
  </sheetData>
  <mergeCells count="40">
    <mergeCell ref="E3:J3"/>
    <mergeCell ref="E7:I7"/>
    <mergeCell ref="E9:F9"/>
    <mergeCell ref="E11:I11"/>
    <mergeCell ref="E12:F12"/>
    <mergeCell ref="E13:F13"/>
    <mergeCell ref="E14:F14"/>
    <mergeCell ref="E15:F15"/>
    <mergeCell ref="E16:F16"/>
    <mergeCell ref="E17:F17"/>
    <mergeCell ref="E18:F18"/>
    <mergeCell ref="E19:F19"/>
    <mergeCell ref="E22:I22"/>
    <mergeCell ref="E23:F23"/>
    <mergeCell ref="E24:F24"/>
    <mergeCell ref="E25:F25"/>
    <mergeCell ref="E26:F26"/>
    <mergeCell ref="E29:I29"/>
    <mergeCell ref="E30:F30"/>
    <mergeCell ref="E31:F31"/>
    <mergeCell ref="E32:F32"/>
    <mergeCell ref="E33:F33"/>
    <mergeCell ref="E34:F34"/>
    <mergeCell ref="E35:F35"/>
    <mergeCell ref="E36:F36"/>
    <mergeCell ref="E37:F37"/>
    <mergeCell ref="E40:I40"/>
    <mergeCell ref="E41:F41"/>
    <mergeCell ref="E42:F42"/>
    <mergeCell ref="E43:F43"/>
    <mergeCell ref="E44:F44"/>
    <mergeCell ref="E45:F45"/>
    <mergeCell ref="E46:F46"/>
    <mergeCell ref="E47:F47"/>
    <mergeCell ref="E49:I49"/>
    <mergeCell ref="E50:F50"/>
    <mergeCell ref="E51:F51"/>
    <mergeCell ref="E52:F52"/>
    <mergeCell ref="E53:F53"/>
    <mergeCell ref="E56:J56"/>
  </mergeCells>
  <pageMargins left="0.75" right="0.75" top="1" bottom="1" header="0.511811023622047" footer="0.511811023622047"/>
  <pageSetup paperSize="1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O51"/>
  <sheetViews>
    <sheetView tabSelected="1" zoomScale="110" zoomScaleNormal="110" workbookViewId="0">
      <pane xSplit="2" ySplit="15" topLeftCell="C16" activePane="bottomRight" state="frozen"/>
      <selection/>
      <selection pane="topRight"/>
      <selection pane="bottomLeft"/>
      <selection pane="bottomRight" activeCell="D14" sqref="D14"/>
    </sheetView>
  </sheetViews>
  <sheetFormatPr defaultColWidth="8.66666666666667" defaultRowHeight="14.25"/>
  <cols>
    <col min="1" max="1" width="1.21666666666667" customWidth="1"/>
    <col min="2" max="2" width="58.8833333333333" customWidth="1"/>
    <col min="3" max="3" width="25.5583333333333" customWidth="1"/>
    <col min="4" max="4" width="15.5583333333333" customWidth="1"/>
    <col min="5" max="13" width="11" customWidth="1"/>
    <col min="14" max="14" width="13.3333333333333" customWidth="1"/>
    <col min="15" max="15" width="16.8833333333333" customWidth="1"/>
  </cols>
  <sheetData>
    <row r="2" spans="2:6">
      <c r="B2" s="17" t="s">
        <v>282</v>
      </c>
      <c r="C2" s="17" t="s">
        <v>283</v>
      </c>
      <c r="F2" t="s">
        <v>284</v>
      </c>
    </row>
    <row r="3" spans="2:6">
      <c r="B3" s="18" t="s">
        <v>285</v>
      </c>
      <c r="C3" s="19">
        <v>50</v>
      </c>
      <c r="F3" t="s">
        <v>286</v>
      </c>
    </row>
    <row r="4" spans="2:10">
      <c r="B4" s="20" t="s">
        <v>287</v>
      </c>
      <c r="C4" s="21">
        <v>45</v>
      </c>
      <c r="D4" s="27">
        <v>0.14</v>
      </c>
      <c r="E4" t="s">
        <v>288</v>
      </c>
      <c r="I4" t="s">
        <v>238</v>
      </c>
      <c r="J4">
        <f>2000*0.14</f>
        <v>280</v>
      </c>
    </row>
    <row r="5" spans="2:10">
      <c r="B5" s="18" t="s">
        <v>289</v>
      </c>
      <c r="C5" s="19">
        <v>60</v>
      </c>
      <c r="D5" s="27">
        <v>0.12</v>
      </c>
      <c r="E5" t="s">
        <v>290</v>
      </c>
      <c r="J5">
        <f>4000*0.12</f>
        <v>480</v>
      </c>
    </row>
    <row r="6" spans="2:10">
      <c r="B6" s="20" t="s">
        <v>291</v>
      </c>
      <c r="C6" s="21">
        <v>70</v>
      </c>
      <c r="D6" s="27">
        <v>0.11</v>
      </c>
      <c r="E6" t="s">
        <v>292</v>
      </c>
      <c r="J6">
        <f>5000*0.11</f>
        <v>550</v>
      </c>
    </row>
    <row r="7" spans="2:8">
      <c r="B7" s="18" t="s">
        <v>293</v>
      </c>
      <c r="C7" s="19">
        <v>0.6</v>
      </c>
      <c r="D7">
        <f>C7*$C$19</f>
        <v>24</v>
      </c>
      <c r="E7" s="28">
        <f>D7*C4</f>
        <v>1080</v>
      </c>
      <c r="F7" s="28">
        <v>1000</v>
      </c>
      <c r="G7" s="28">
        <f>D7*F7</f>
        <v>24000</v>
      </c>
      <c r="H7" s="29">
        <f>G7*D4</f>
        <v>3360</v>
      </c>
    </row>
    <row r="8" spans="2:9">
      <c r="B8" s="20" t="s">
        <v>294</v>
      </c>
      <c r="C8" s="21">
        <v>0.3</v>
      </c>
      <c r="D8">
        <f>C8*$C$19</f>
        <v>12</v>
      </c>
      <c r="E8" s="28">
        <f>D8*C5</f>
        <v>720</v>
      </c>
      <c r="F8" s="28">
        <v>3000</v>
      </c>
      <c r="G8" s="28">
        <f>D8*F8</f>
        <v>36000</v>
      </c>
      <c r="H8" s="29">
        <f>G8*D5</f>
        <v>4320</v>
      </c>
      <c r="I8">
        <f>65*0.95</f>
        <v>61.75</v>
      </c>
    </row>
    <row r="9" spans="2:8">
      <c r="B9" s="18" t="s">
        <v>295</v>
      </c>
      <c r="C9" s="19">
        <v>0.1</v>
      </c>
      <c r="D9">
        <f>C9*$C$19</f>
        <v>4</v>
      </c>
      <c r="E9" s="28">
        <f>D9*C6</f>
        <v>280</v>
      </c>
      <c r="F9" s="28">
        <v>5000</v>
      </c>
      <c r="G9" s="28">
        <f>D9*F9</f>
        <v>20000</v>
      </c>
      <c r="H9" s="29">
        <f>G9*D6</f>
        <v>2200</v>
      </c>
    </row>
    <row r="10" spans="2:8">
      <c r="B10" s="20" t="s">
        <v>201</v>
      </c>
      <c r="C10" s="22">
        <v>0.05</v>
      </c>
      <c r="D10" t="s">
        <v>296</v>
      </c>
      <c r="E10">
        <f>SUM(E7:E9)</f>
        <v>2080</v>
      </c>
      <c r="G10" s="29">
        <f>SUM(G7:G9)</f>
        <v>80000</v>
      </c>
      <c r="H10" s="29">
        <f>SUM(H7:H9)</f>
        <v>9880</v>
      </c>
    </row>
    <row r="11" spans="2:3">
      <c r="B11" s="18" t="s">
        <v>297</v>
      </c>
      <c r="C11" s="23">
        <v>0.1866</v>
      </c>
    </row>
    <row r="12" spans="2:11">
      <c r="B12" s="20" t="s">
        <v>298</v>
      </c>
      <c r="C12" s="22">
        <f>1-C11</f>
        <v>0.8134</v>
      </c>
      <c r="H12">
        <f>C22/C19</f>
        <v>52</v>
      </c>
      <c r="K12">
        <f>C22/C19</f>
        <v>52</v>
      </c>
    </row>
    <row r="13" spans="2:10">
      <c r="B13" s="18" t="s">
        <v>299</v>
      </c>
      <c r="C13" s="23">
        <v>0.25</v>
      </c>
      <c r="F13">
        <f>40*32.5</f>
        <v>1300</v>
      </c>
      <c r="I13">
        <f>50-32.5</f>
        <v>17.5</v>
      </c>
      <c r="J13">
        <f>I13*C19</f>
        <v>700</v>
      </c>
    </row>
    <row r="14" spans="2:3">
      <c r="B14" s="20" t="s">
        <v>300</v>
      </c>
      <c r="C14" s="21">
        <v>210760</v>
      </c>
    </row>
    <row r="15" spans="2:3">
      <c r="B15" s="18" t="s">
        <v>301</v>
      </c>
      <c r="C15" s="18" t="s">
        <v>302</v>
      </c>
    </row>
    <row r="16" spans="2:3">
      <c r="B16" s="24" t="s">
        <v>303</v>
      </c>
      <c r="C16" s="25" t="s">
        <v>303</v>
      </c>
    </row>
    <row r="17" spans="3:15">
      <c r="C17" s="6" t="s">
        <v>204</v>
      </c>
      <c r="D17" s="6" t="s">
        <v>206</v>
      </c>
      <c r="E17" s="6" t="s">
        <v>208</v>
      </c>
      <c r="F17" s="6" t="s">
        <v>304</v>
      </c>
      <c r="G17" s="6" t="s">
        <v>305</v>
      </c>
      <c r="H17" s="6" t="s">
        <v>306</v>
      </c>
      <c r="I17" s="6" t="s">
        <v>307</v>
      </c>
      <c r="J17" s="6" t="s">
        <v>308</v>
      </c>
      <c r="K17" s="6" t="s">
        <v>309</v>
      </c>
      <c r="L17" s="6" t="s">
        <v>310</v>
      </c>
      <c r="M17" s="6" t="s">
        <v>311</v>
      </c>
      <c r="N17" s="6" t="s">
        <v>312</v>
      </c>
      <c r="O17" s="6" t="s">
        <v>313</v>
      </c>
    </row>
    <row r="18" spans="2:15">
      <c r="B18" s="3" t="s">
        <v>314</v>
      </c>
      <c r="C18" s="5">
        <v>13</v>
      </c>
      <c r="D18" s="5">
        <v>13</v>
      </c>
      <c r="E18" s="5">
        <v>14</v>
      </c>
      <c r="F18" s="5">
        <v>15</v>
      </c>
      <c r="G18" s="5">
        <v>15</v>
      </c>
      <c r="H18" s="5">
        <v>16</v>
      </c>
      <c r="I18" s="5">
        <v>16</v>
      </c>
      <c r="J18" s="5">
        <v>16</v>
      </c>
      <c r="K18" s="5">
        <v>17</v>
      </c>
      <c r="L18" s="5">
        <v>17</v>
      </c>
      <c r="M18" s="5">
        <v>17</v>
      </c>
      <c r="N18" s="5">
        <v>16</v>
      </c>
      <c r="O18" s="5">
        <f>SUM(C18:N18)</f>
        <v>185</v>
      </c>
    </row>
    <row r="19" spans="2:15">
      <c r="B19" s="3" t="s">
        <v>315</v>
      </c>
      <c r="C19" s="5">
        <v>40</v>
      </c>
      <c r="D19" s="5">
        <v>51</v>
      </c>
      <c r="E19" s="5">
        <v>62</v>
      </c>
      <c r="F19" s="5">
        <v>74</v>
      </c>
      <c r="G19" s="5">
        <v>85</v>
      </c>
      <c r="H19" s="5">
        <v>97</v>
      </c>
      <c r="I19" s="5">
        <v>108</v>
      </c>
      <c r="J19" s="5">
        <v>119</v>
      </c>
      <c r="K19" s="5">
        <v>130</v>
      </c>
      <c r="L19" s="5">
        <v>141</v>
      </c>
      <c r="M19" s="5">
        <v>151</v>
      </c>
      <c r="N19" s="5">
        <v>159</v>
      </c>
      <c r="O19" s="5">
        <f>N19</f>
        <v>159</v>
      </c>
    </row>
    <row r="21" spans="2:15">
      <c r="B21" s="26" t="s">
        <v>316</v>
      </c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</row>
    <row r="22" spans="2:15">
      <c r="B22" s="3" t="s">
        <v>317</v>
      </c>
      <c r="C22" s="5">
        <f>C19*($C$7*$C$4+$C$8*$C$5+$C$9*$C$6)</f>
        <v>2080</v>
      </c>
      <c r="D22" s="5">
        <f>D19*($C$7*$C$4+$C$8*$C$5+$C$9*$C$6)</f>
        <v>2652</v>
      </c>
      <c r="E22" s="5">
        <f>E19*($C$7*$C$4+$C$8*$C$5+$C$9*$C$6)</f>
        <v>3224</v>
      </c>
      <c r="F22" s="5">
        <f>F19*($C$7*$C$4+$C$8*$C$5+$C$9*$C$6)</f>
        <v>3848</v>
      </c>
      <c r="G22" s="5">
        <f>G19*($C$7*$C$4+$C$8*$C$5+$C$9*$C$6)</f>
        <v>4420</v>
      </c>
      <c r="H22" s="5">
        <f>H19*($C$7*$C$4+$C$8*$C$5+$C$9*$C$6)</f>
        <v>5044</v>
      </c>
      <c r="I22" s="5">
        <f>I19*($C$7*$C$4+$C$8*$C$5+$C$9*$C$6)</f>
        <v>5616</v>
      </c>
      <c r="J22" s="5">
        <f>J19*($C$7*$C$4+$C$8*$C$5+$C$9*$C$6)</f>
        <v>6188</v>
      </c>
      <c r="K22" s="5">
        <f>K19*($C$7*$C$4+$C$8*$C$5+$C$9*$C$6)</f>
        <v>6760</v>
      </c>
      <c r="L22" s="5">
        <f>L19*($C$7*$C$4+$C$8*$C$5+$C$9*$C$6)</f>
        <v>7332</v>
      </c>
      <c r="M22" s="5">
        <f>M19*($C$7*$C$4+$C$8*$C$5+$C$9*$C$6)</f>
        <v>7852</v>
      </c>
      <c r="N22" s="5">
        <f>N19*($C$7*$C$4+$C$8*$C$5+$C$9*$C$6)</f>
        <v>8268</v>
      </c>
      <c r="O22" s="5">
        <f>SUM(C22:N22)</f>
        <v>63284</v>
      </c>
    </row>
    <row r="23" spans="2:15">
      <c r="B23" s="3" t="s">
        <v>318</v>
      </c>
      <c r="C23" s="5">
        <f>(((C19*$C$7)*$F$7)*$D$4)+(((C19*$C$8)*$F$8)*$D$5)+(((C19*$C$9)*$F$9)*$D$6)</f>
        <v>9880</v>
      </c>
      <c r="D23" s="5">
        <f>(((D19*$C$7)*$F$7)*$D$4)+(((D19*$C$8)*$F$8)*$D$5)+(((D19*$C$9)*$F$9)*$D$6)</f>
        <v>12597</v>
      </c>
      <c r="E23" s="5">
        <f>(((E19*$C$7)*$F$7)*$D$4)+(((E19*$C$8)*$F$8)*$D$5)+(((E19*$C$9)*$F$9)*$D$6)</f>
        <v>15314</v>
      </c>
      <c r="F23" s="5">
        <f>(((F19*$C$7)*$F$7)*$D$4)+(((F19*$C$8)*$F$8)*$D$5)+(((F19*$C$9)*$F$9)*$D$6)</f>
        <v>18278</v>
      </c>
      <c r="G23" s="5">
        <f>(((G19*$C$7)*$F$7)*$D$4)+(((G19*$C$8)*$F$8)*$D$5)+(((G19*$C$9)*$F$9)*$D$6)</f>
        <v>20995</v>
      </c>
      <c r="H23" s="5">
        <f>(((H19*$C$7)*$F$7)*$D$4)+(((H19*$C$8)*$F$8)*$D$5)+(((H19*$C$9)*$F$9)*$D$6)</f>
        <v>23959</v>
      </c>
      <c r="I23" s="5">
        <f>(((I19*$C$7)*$F$7)*$D$4)+(((I19*$C$8)*$F$8)*$D$5)+(((I19*$C$9)*$F$9)*$D$6)</f>
        <v>26676</v>
      </c>
      <c r="J23" s="5">
        <f>(((J19*$C$7)*$F$7)*$D$4)+(((J19*$C$8)*$F$8)*$D$5)+(((J19*$C$9)*$F$9)*$D$6)</f>
        <v>29393</v>
      </c>
      <c r="K23" s="5">
        <f>(((K19*$C$7)*$F$7)*$D$4)+(((K19*$C$8)*$F$8)*$D$5)+(((K19*$C$9)*$F$9)*$D$6)</f>
        <v>32110</v>
      </c>
      <c r="L23" s="5">
        <f>(((L19*$C$7)*$F$7)*$D$4)+(((L19*$C$8)*$F$8)*$D$5)+(((L19*$C$9)*$F$9)*$D$6)</f>
        <v>34827</v>
      </c>
      <c r="M23" s="5">
        <f>(((M19*$C$7)*$F$7)*$D$4)+(((M19*$C$8)*$F$8)*$D$5)+(((M19*$C$9)*$F$9)*$D$6)</f>
        <v>37297</v>
      </c>
      <c r="N23" s="5">
        <f>(((N19*$C$7)*$F$7)*$D$4)+(((N19*$C$8)*$F$8)*$D$5)+(((N19*$C$9)*$F$9)*$D$6)</f>
        <v>39273</v>
      </c>
      <c r="O23" s="5">
        <f>SUM(C23:N23)</f>
        <v>300599</v>
      </c>
    </row>
    <row r="24" ht="15" customHeight="1" spans="2:15">
      <c r="B24" s="3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>
        <f>SUM(C24:N24)</f>
        <v>0</v>
      </c>
    </row>
    <row r="25" ht="15" customHeight="1" spans="2:15">
      <c r="B25" s="13" t="s">
        <v>319</v>
      </c>
      <c r="C25" s="14">
        <f t="shared" ref="C25:N25" si="0">C22+C23+C24</f>
        <v>11960</v>
      </c>
      <c r="D25" s="14">
        <f t="shared" si="0"/>
        <v>15249</v>
      </c>
      <c r="E25" s="14">
        <f t="shared" si="0"/>
        <v>18538</v>
      </c>
      <c r="F25" s="14">
        <f t="shared" si="0"/>
        <v>22126</v>
      </c>
      <c r="G25" s="14">
        <f t="shared" si="0"/>
        <v>25415</v>
      </c>
      <c r="H25" s="14">
        <f t="shared" si="0"/>
        <v>29003</v>
      </c>
      <c r="I25" s="14">
        <f t="shared" si="0"/>
        <v>32292</v>
      </c>
      <c r="J25" s="14">
        <f t="shared" si="0"/>
        <v>35581</v>
      </c>
      <c r="K25" s="14">
        <f t="shared" si="0"/>
        <v>38870</v>
      </c>
      <c r="L25" s="14">
        <f t="shared" si="0"/>
        <v>42159</v>
      </c>
      <c r="M25" s="14">
        <f t="shared" si="0"/>
        <v>45149</v>
      </c>
      <c r="N25" s="14">
        <f t="shared" si="0"/>
        <v>47541</v>
      </c>
      <c r="O25" s="14">
        <f>SUM(C25:N25)</f>
        <v>363883</v>
      </c>
    </row>
    <row r="27" spans="2:15">
      <c r="B27" s="26" t="s">
        <v>320</v>
      </c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</row>
    <row r="28" spans="2:14">
      <c r="B28" s="3" t="s">
        <v>321</v>
      </c>
      <c r="C28" s="5">
        <v>2000</v>
      </c>
      <c r="D28" s="5">
        <v>2000</v>
      </c>
      <c r="E28" s="5">
        <v>2000</v>
      </c>
      <c r="F28" s="5">
        <v>2000</v>
      </c>
      <c r="G28" s="5">
        <v>2000</v>
      </c>
      <c r="H28" s="5">
        <v>2000</v>
      </c>
      <c r="I28" s="5">
        <v>2000</v>
      </c>
      <c r="J28" s="5">
        <v>2000</v>
      </c>
      <c r="K28" s="5">
        <v>2000</v>
      </c>
      <c r="L28" s="5">
        <v>2000</v>
      </c>
      <c r="M28" s="5">
        <v>2000</v>
      </c>
      <c r="N28" s="5">
        <v>2000</v>
      </c>
    </row>
    <row r="29" spans="2:14">
      <c r="B29" s="3" t="s">
        <v>322</v>
      </c>
      <c r="C29" s="5">
        <v>500</v>
      </c>
      <c r="D29" s="5">
        <v>500</v>
      </c>
      <c r="E29" s="5"/>
      <c r="F29" s="5"/>
      <c r="G29" s="5"/>
      <c r="H29" s="5"/>
      <c r="I29" s="5"/>
      <c r="J29" s="5"/>
      <c r="K29" s="5"/>
      <c r="L29" s="5"/>
      <c r="M29" s="5"/>
      <c r="N29" s="5"/>
    </row>
    <row r="30" spans="2:14">
      <c r="B30" s="3" t="s">
        <v>323</v>
      </c>
      <c r="C30" s="5">
        <f>'ESTA SI VALE'!$I$61</f>
        <v>1400</v>
      </c>
      <c r="D30" s="5">
        <f>'ESTA SI VALE'!$I$61</f>
        <v>1400</v>
      </c>
      <c r="E30" s="5">
        <f>'ESTA SI VALE'!$I$61</f>
        <v>1400</v>
      </c>
      <c r="F30" s="5">
        <f>'ESTA SI VALE'!$I$61</f>
        <v>1400</v>
      </c>
      <c r="G30" s="5">
        <f>'ESTA SI VALE'!$I$61</f>
        <v>1400</v>
      </c>
      <c r="H30" s="5">
        <f>'ESTA SI VALE'!$I$61</f>
        <v>1400</v>
      </c>
      <c r="I30" s="5">
        <f>'ESTA SI VALE'!$I$61</f>
        <v>1400</v>
      </c>
      <c r="J30" s="5">
        <f>'ESTA SI VALE'!$I$61</f>
        <v>1400</v>
      </c>
      <c r="K30" s="5">
        <f>'ESTA SI VALE'!$I$61</f>
        <v>1400</v>
      </c>
      <c r="L30" s="5">
        <f>'ESTA SI VALE'!$I$61</f>
        <v>1400</v>
      </c>
      <c r="M30" s="5">
        <f>'ESTA SI VALE'!$I$61</f>
        <v>1400</v>
      </c>
      <c r="N30" s="5">
        <f>'ESTA SI VALE'!$I$61</f>
        <v>1400</v>
      </c>
    </row>
    <row r="31" spans="2:14">
      <c r="B31" s="3" t="s">
        <v>324</v>
      </c>
      <c r="C31" s="5">
        <f>'ESTA SI VALE'!$I$62</f>
        <v>400</v>
      </c>
      <c r="D31" s="5">
        <f>'ESTA SI VALE'!$I$62</f>
        <v>400</v>
      </c>
      <c r="E31" s="5">
        <f>'ESTA SI VALE'!$I$62</f>
        <v>400</v>
      </c>
      <c r="F31" s="5">
        <f>'ESTA SI VALE'!$I$62</f>
        <v>400</v>
      </c>
      <c r="G31" s="5">
        <f>'ESTA SI VALE'!$I$62</f>
        <v>400</v>
      </c>
      <c r="H31" s="5">
        <f>'ESTA SI VALE'!$I$62</f>
        <v>400</v>
      </c>
      <c r="I31" s="5">
        <f>'ESTA SI VALE'!$I$62</f>
        <v>400</v>
      </c>
      <c r="J31" s="5">
        <f>'ESTA SI VALE'!$I$62</f>
        <v>400</v>
      </c>
      <c r="K31" s="5">
        <f>'ESTA SI VALE'!$I$62</f>
        <v>400</v>
      </c>
      <c r="L31" s="5">
        <f>'ESTA SI VALE'!$I$62</f>
        <v>400</v>
      </c>
      <c r="M31" s="5">
        <f>'ESTA SI VALE'!$I$62</f>
        <v>400</v>
      </c>
      <c r="N31" s="5">
        <f>'ESTA SI VALE'!$I$62</f>
        <v>400</v>
      </c>
    </row>
    <row r="32" spans="2:14">
      <c r="B32" s="3" t="s">
        <v>325</v>
      </c>
      <c r="C32" s="5">
        <v>3000</v>
      </c>
      <c r="D32" s="5">
        <v>3000</v>
      </c>
      <c r="E32" s="5">
        <v>3000</v>
      </c>
      <c r="F32" s="5">
        <v>3000</v>
      </c>
      <c r="G32" s="5">
        <v>3000</v>
      </c>
      <c r="H32" s="5">
        <v>3000</v>
      </c>
      <c r="I32" s="5">
        <v>3000</v>
      </c>
      <c r="J32" s="5">
        <v>3000</v>
      </c>
      <c r="K32" s="5">
        <v>3000</v>
      </c>
      <c r="L32" s="5">
        <v>3000</v>
      </c>
      <c r="M32" s="5">
        <v>3000</v>
      </c>
      <c r="N32" s="5">
        <v>3000</v>
      </c>
    </row>
    <row r="33" spans="2:14">
      <c r="B33" s="3" t="s">
        <v>326</v>
      </c>
      <c r="C33" s="5">
        <f>'ESTA SI VALE'!$I$64</f>
        <v>425</v>
      </c>
      <c r="D33" s="5">
        <f>'ESTA SI VALE'!$I$64</f>
        <v>425</v>
      </c>
      <c r="E33" s="5">
        <f>'ESTA SI VALE'!$I$64</f>
        <v>425</v>
      </c>
      <c r="F33" s="5">
        <f>'ESTA SI VALE'!$I$64</f>
        <v>425</v>
      </c>
      <c r="G33" s="5">
        <f>'ESTA SI VALE'!$I$64</f>
        <v>425</v>
      </c>
      <c r="H33" s="5">
        <f>'ESTA SI VALE'!$I$64</f>
        <v>425</v>
      </c>
      <c r="I33" s="5">
        <f>'ESTA SI VALE'!$I$64</f>
        <v>425</v>
      </c>
      <c r="J33" s="5">
        <f>'ESTA SI VALE'!$I$64</f>
        <v>425</v>
      </c>
      <c r="K33" s="5">
        <f>'ESTA SI VALE'!$I$64</f>
        <v>425</v>
      </c>
      <c r="L33" s="5">
        <f>'ESTA SI VALE'!$I$64</f>
        <v>425</v>
      </c>
      <c r="M33" s="5">
        <f>'ESTA SI VALE'!$I$64</f>
        <v>425</v>
      </c>
      <c r="N33" s="5">
        <f>'ESTA SI VALE'!$I$64</f>
        <v>425</v>
      </c>
    </row>
    <row r="34" spans="2:14">
      <c r="B34" s="3" t="s">
        <v>327</v>
      </c>
      <c r="C34" s="5">
        <f>'ESTA SI VALE'!$I$65</f>
        <v>330</v>
      </c>
      <c r="D34" s="5">
        <f>'ESTA SI VALE'!$I$65</f>
        <v>330</v>
      </c>
      <c r="E34" s="5">
        <f>'ESTA SI VALE'!$I$65</f>
        <v>330</v>
      </c>
      <c r="F34" s="5">
        <f>'ESTA SI VALE'!$I$65</f>
        <v>330</v>
      </c>
      <c r="G34" s="5">
        <f>'ESTA SI VALE'!$I$65</f>
        <v>330</v>
      </c>
      <c r="H34" s="5">
        <f>'ESTA SI VALE'!$I$65</f>
        <v>330</v>
      </c>
      <c r="I34" s="5">
        <f>'ESTA SI VALE'!$I$65</f>
        <v>330</v>
      </c>
      <c r="J34" s="5">
        <f>'ESTA SI VALE'!$I$65</f>
        <v>330</v>
      </c>
      <c r="K34" s="5">
        <f>'ESTA SI VALE'!$I$65</f>
        <v>330</v>
      </c>
      <c r="L34" s="5">
        <f>'ESTA SI VALE'!$I$65</f>
        <v>330</v>
      </c>
      <c r="M34" s="5">
        <f>'ESTA SI VALE'!$I$65</f>
        <v>330</v>
      </c>
      <c r="N34" s="5">
        <f>'ESTA SI VALE'!$I$65</f>
        <v>330</v>
      </c>
    </row>
    <row r="35" spans="2:14">
      <c r="B35" s="3" t="s">
        <v>328</v>
      </c>
      <c r="C35" s="5">
        <f>'ESTA SI VALE'!$I$66</f>
        <v>500</v>
      </c>
      <c r="D35" s="5">
        <f>'ESTA SI VALE'!$I$66</f>
        <v>500</v>
      </c>
      <c r="E35" s="5">
        <f>'ESTA SI VALE'!$I$66</f>
        <v>500</v>
      </c>
      <c r="F35" s="5">
        <f>'ESTA SI VALE'!$I$66</f>
        <v>500</v>
      </c>
      <c r="G35" s="5">
        <f>'ESTA SI VALE'!$I$66</f>
        <v>500</v>
      </c>
      <c r="H35" s="5">
        <f>'ESTA SI VALE'!$I$66</f>
        <v>500</v>
      </c>
      <c r="I35" s="5">
        <f>'ESTA SI VALE'!$I$66</f>
        <v>500</v>
      </c>
      <c r="J35" s="5">
        <f>'ESTA SI VALE'!$I$66</f>
        <v>500</v>
      </c>
      <c r="K35" s="5">
        <f>'ESTA SI VALE'!$I$66</f>
        <v>500</v>
      </c>
      <c r="L35" s="5">
        <f>'ESTA SI VALE'!$I$66</f>
        <v>500</v>
      </c>
      <c r="M35" s="5">
        <f>'ESTA SI VALE'!$I$66</f>
        <v>500</v>
      </c>
      <c r="N35" s="5">
        <f>'ESTA SI VALE'!$I$66</f>
        <v>500</v>
      </c>
    </row>
    <row r="36" spans="2:14">
      <c r="B36" s="3" t="s">
        <v>329</v>
      </c>
      <c r="C36" s="5">
        <f>'ESTA SI VALE'!$I$67</f>
        <v>80</v>
      </c>
      <c r="D36" s="5">
        <f>'ESTA SI VALE'!$I$67</f>
        <v>80</v>
      </c>
      <c r="E36" s="5">
        <f>'ESTA SI VALE'!$I$67</f>
        <v>80</v>
      </c>
      <c r="F36" s="5">
        <f>'ESTA SI VALE'!$I$67</f>
        <v>80</v>
      </c>
      <c r="G36" s="5">
        <f>'ESTA SI VALE'!$I$67</f>
        <v>80</v>
      </c>
      <c r="H36" s="5">
        <f>'ESTA SI VALE'!$I$67</f>
        <v>80</v>
      </c>
      <c r="I36" s="5">
        <f>'ESTA SI VALE'!$I$67</f>
        <v>80</v>
      </c>
      <c r="J36" s="5">
        <f>'ESTA SI VALE'!$I$67</f>
        <v>80</v>
      </c>
      <c r="K36" s="5">
        <f>'ESTA SI VALE'!$I$67</f>
        <v>80</v>
      </c>
      <c r="L36" s="5">
        <f>'ESTA SI VALE'!$I$67</f>
        <v>80</v>
      </c>
      <c r="M36" s="5">
        <f>'ESTA SI VALE'!$I$67</f>
        <v>80</v>
      </c>
      <c r="N36" s="5">
        <f>'ESTA SI VALE'!$I$67</f>
        <v>80</v>
      </c>
    </row>
    <row r="37" spans="2:14">
      <c r="B37" s="3" t="s">
        <v>330</v>
      </c>
      <c r="C37" s="5">
        <f>'ESTA SI VALE'!$I$68</f>
        <v>154</v>
      </c>
      <c r="D37" s="5">
        <f>'ESTA SI VALE'!$I$68</f>
        <v>154</v>
      </c>
      <c r="E37" s="5">
        <f>'ESTA SI VALE'!$I$68</f>
        <v>154</v>
      </c>
      <c r="F37" s="5">
        <f>'ESTA SI VALE'!$I$68</f>
        <v>154</v>
      </c>
      <c r="G37" s="5">
        <f>'ESTA SI VALE'!$I$68</f>
        <v>154</v>
      </c>
      <c r="H37" s="5">
        <f>'ESTA SI VALE'!$I$68</f>
        <v>154</v>
      </c>
      <c r="I37" s="5">
        <f>'ESTA SI VALE'!$I$68</f>
        <v>154</v>
      </c>
      <c r="J37" s="5">
        <f>'ESTA SI VALE'!$I$68</f>
        <v>154</v>
      </c>
      <c r="K37" s="5">
        <f>'ESTA SI VALE'!$I$68</f>
        <v>154</v>
      </c>
      <c r="L37" s="5">
        <f>'ESTA SI VALE'!$I$68</f>
        <v>154</v>
      </c>
      <c r="M37" s="5">
        <f>'ESTA SI VALE'!$I$68</f>
        <v>154</v>
      </c>
      <c r="N37" s="5">
        <f>'ESTA SI VALE'!$I$68</f>
        <v>154</v>
      </c>
    </row>
    <row r="38" spans="2:15">
      <c r="B38" s="3" t="s">
        <v>331</v>
      </c>
      <c r="C38" s="5">
        <v>800</v>
      </c>
      <c r="D38" s="5">
        <v>800</v>
      </c>
      <c r="E38" s="5">
        <v>800</v>
      </c>
      <c r="F38" s="5">
        <v>800</v>
      </c>
      <c r="G38" s="5">
        <v>800</v>
      </c>
      <c r="H38" s="5">
        <v>800</v>
      </c>
      <c r="I38" s="5">
        <v>500</v>
      </c>
      <c r="J38" s="5">
        <v>500</v>
      </c>
      <c r="K38" s="5">
        <v>500</v>
      </c>
      <c r="L38" s="5">
        <v>500</v>
      </c>
      <c r="M38" s="5">
        <v>500</v>
      </c>
      <c r="N38" s="5">
        <v>500</v>
      </c>
      <c r="O38" s="5">
        <f>SUM(C38:N38)</f>
        <v>7800</v>
      </c>
    </row>
    <row r="39" spans="2:15">
      <c r="B39" s="3" t="s">
        <v>332</v>
      </c>
      <c r="C39" s="5">
        <v>0</v>
      </c>
      <c r="D39" s="5">
        <v>0</v>
      </c>
      <c r="E39" s="5">
        <v>350</v>
      </c>
      <c r="F39" s="5">
        <v>350</v>
      </c>
      <c r="G39" s="5">
        <v>350</v>
      </c>
      <c r="H39" s="5">
        <v>350</v>
      </c>
      <c r="I39" s="5">
        <v>350</v>
      </c>
      <c r="J39" s="5">
        <v>350</v>
      </c>
      <c r="K39" s="5">
        <v>350</v>
      </c>
      <c r="L39" s="5">
        <v>350</v>
      </c>
      <c r="M39" s="5">
        <v>350</v>
      </c>
      <c r="N39" s="5">
        <v>350</v>
      </c>
      <c r="O39" s="5">
        <f>SUM(C39:N39)</f>
        <v>3500</v>
      </c>
    </row>
    <row r="40" spans="2:15">
      <c r="B40" s="3" t="s">
        <v>333</v>
      </c>
      <c r="C40" s="5">
        <v>2500</v>
      </c>
      <c r="D40" s="5"/>
      <c r="E40" s="5"/>
      <c r="F40" s="5">
        <v>2500</v>
      </c>
      <c r="G40" s="5"/>
      <c r="H40" s="5"/>
      <c r="I40" s="5">
        <v>2500</v>
      </c>
      <c r="J40" s="5"/>
      <c r="K40" s="5"/>
      <c r="L40" s="5">
        <v>2500</v>
      </c>
      <c r="M40" s="5"/>
      <c r="N40" s="5"/>
      <c r="O40" s="5"/>
    </row>
    <row r="41" ht="15" customHeight="1" spans="2:15">
      <c r="B41" s="3" t="s">
        <v>334</v>
      </c>
      <c r="C41" s="5">
        <v>1322</v>
      </c>
      <c r="D41" s="5">
        <v>1322</v>
      </c>
      <c r="E41" s="5">
        <v>1308</v>
      </c>
      <c r="F41" s="5">
        <v>1308</v>
      </c>
      <c r="G41" s="5">
        <v>1308</v>
      </c>
      <c r="H41" s="5">
        <v>1308</v>
      </c>
      <c r="I41" s="5">
        <v>1241</v>
      </c>
      <c r="J41" s="5">
        <v>1241</v>
      </c>
      <c r="K41" s="5">
        <v>1241</v>
      </c>
      <c r="L41" s="5">
        <v>1241</v>
      </c>
      <c r="M41" s="5">
        <v>1241</v>
      </c>
      <c r="N41" s="5">
        <v>1241</v>
      </c>
      <c r="O41" s="5">
        <f>SUM(C41:N41)</f>
        <v>15322</v>
      </c>
    </row>
    <row r="42" ht="15" customHeight="1" spans="2:15">
      <c r="B42" s="13" t="s">
        <v>335</v>
      </c>
      <c r="C42" s="14">
        <f t="shared" ref="C42:N42" si="1">C28+C30+C31+C32+C33+C34+C35+C36+C37+C38+C39+C41</f>
        <v>10411</v>
      </c>
      <c r="D42" s="14">
        <f t="shared" si="1"/>
        <v>10411</v>
      </c>
      <c r="E42" s="14">
        <f t="shared" si="1"/>
        <v>10747</v>
      </c>
      <c r="F42" s="14">
        <f t="shared" si="1"/>
        <v>10747</v>
      </c>
      <c r="G42" s="14">
        <f t="shared" si="1"/>
        <v>10747</v>
      </c>
      <c r="H42" s="14">
        <f t="shared" si="1"/>
        <v>10747</v>
      </c>
      <c r="I42" s="14">
        <f t="shared" si="1"/>
        <v>10380</v>
      </c>
      <c r="J42" s="14">
        <f t="shared" si="1"/>
        <v>10380</v>
      </c>
      <c r="K42" s="14">
        <f t="shared" si="1"/>
        <v>10380</v>
      </c>
      <c r="L42" s="14">
        <f t="shared" si="1"/>
        <v>10380</v>
      </c>
      <c r="M42" s="14">
        <f t="shared" si="1"/>
        <v>10380</v>
      </c>
      <c r="N42" s="14">
        <f t="shared" si="1"/>
        <v>10380</v>
      </c>
      <c r="O42" s="14">
        <f>SUM(C42:N42)</f>
        <v>126090</v>
      </c>
    </row>
    <row r="43" ht="15" customHeight="1"/>
    <row r="44" ht="15" customHeight="1" spans="2:15">
      <c r="B44" s="13" t="s">
        <v>336</v>
      </c>
      <c r="C44" s="14">
        <f t="shared" ref="C44:N44" si="2">C25-C42</f>
        <v>1549</v>
      </c>
      <c r="D44" s="14">
        <f t="shared" si="2"/>
        <v>4838</v>
      </c>
      <c r="E44" s="14">
        <f t="shared" si="2"/>
        <v>7791</v>
      </c>
      <c r="F44" s="14">
        <f t="shared" si="2"/>
        <v>11379</v>
      </c>
      <c r="G44" s="14">
        <f t="shared" si="2"/>
        <v>14668</v>
      </c>
      <c r="H44" s="14">
        <f t="shared" si="2"/>
        <v>18256</v>
      </c>
      <c r="I44" s="14">
        <f t="shared" si="2"/>
        <v>21912</v>
      </c>
      <c r="J44" s="14">
        <f t="shared" si="2"/>
        <v>25201</v>
      </c>
      <c r="K44" s="14">
        <f t="shared" si="2"/>
        <v>28490</v>
      </c>
      <c r="L44" s="14">
        <f t="shared" si="2"/>
        <v>31779</v>
      </c>
      <c r="M44" s="14">
        <f t="shared" si="2"/>
        <v>34769</v>
      </c>
      <c r="N44" s="14">
        <f t="shared" si="2"/>
        <v>37161</v>
      </c>
      <c r="O44" s="14">
        <f>SUM(C44:N44)</f>
        <v>237793</v>
      </c>
    </row>
    <row r="45" spans="2:15">
      <c r="B45" s="3" t="s">
        <v>337</v>
      </c>
      <c r="C45" s="5">
        <f>C44</f>
        <v>1549</v>
      </c>
      <c r="D45" s="5">
        <f t="shared" ref="D45:N45" si="3">C45+D44</f>
        <v>6387</v>
      </c>
      <c r="E45" s="5">
        <f t="shared" si="3"/>
        <v>14178</v>
      </c>
      <c r="F45" s="5">
        <f t="shared" si="3"/>
        <v>25557</v>
      </c>
      <c r="G45" s="5">
        <f t="shared" si="3"/>
        <v>40225</v>
      </c>
      <c r="H45" s="5">
        <f t="shared" si="3"/>
        <v>58481</v>
      </c>
      <c r="I45" s="5">
        <f t="shared" si="3"/>
        <v>80393</v>
      </c>
      <c r="J45" s="5">
        <f t="shared" si="3"/>
        <v>105594</v>
      </c>
      <c r="K45" s="5">
        <f t="shared" si="3"/>
        <v>134084</v>
      </c>
      <c r="L45" s="5">
        <f t="shared" si="3"/>
        <v>165863</v>
      </c>
      <c r="M45" s="5">
        <f t="shared" si="3"/>
        <v>200632</v>
      </c>
      <c r="N45" s="5">
        <f t="shared" si="3"/>
        <v>237793</v>
      </c>
      <c r="O45" s="5">
        <f>N45</f>
        <v>237793</v>
      </c>
    </row>
    <row r="46" spans="2:14">
      <c r="B46" s="3" t="s">
        <v>338</v>
      </c>
      <c r="C46" s="5">
        <f>C44*$C$11</f>
        <v>289.0434</v>
      </c>
      <c r="D46" s="5">
        <f>D44*$C$11</f>
        <v>902.7708</v>
      </c>
      <c r="E46" s="5">
        <f>E44*$C$11</f>
        <v>1453.8006</v>
      </c>
      <c r="F46" s="5">
        <f>F44*$C$11</f>
        <v>2123.3214</v>
      </c>
      <c r="G46" s="5">
        <f>G44*$C$11</f>
        <v>2737.0488</v>
      </c>
      <c r="H46" s="5">
        <f>H44*$C$11</f>
        <v>3406.5696</v>
      </c>
      <c r="I46" s="5">
        <f>I44*$C$11</f>
        <v>4088.7792</v>
      </c>
      <c r="J46" s="5">
        <f>J44*$C$11</f>
        <v>4702.5066</v>
      </c>
      <c r="K46" s="5">
        <f>K44*$C$11</f>
        <v>5316.234</v>
      </c>
      <c r="L46" s="5">
        <f>L44*$C$11</f>
        <v>5929.9614</v>
      </c>
      <c r="M46" s="5">
        <f>M44*$C$11</f>
        <v>6487.8954</v>
      </c>
      <c r="N46" s="5">
        <f>N44*$C$11</f>
        <v>6934.2426</v>
      </c>
    </row>
    <row r="47" spans="2:14">
      <c r="B47" s="3" t="s">
        <v>339</v>
      </c>
      <c r="C47" s="5">
        <f t="shared" ref="C47:N47" si="4">C44-C46</f>
        <v>1259.9566</v>
      </c>
      <c r="D47" s="5">
        <f t="shared" si="4"/>
        <v>3935.2292</v>
      </c>
      <c r="E47" s="5">
        <f t="shared" si="4"/>
        <v>6337.1994</v>
      </c>
      <c r="F47" s="5">
        <f t="shared" si="4"/>
        <v>9255.6786</v>
      </c>
      <c r="G47" s="5">
        <f t="shared" si="4"/>
        <v>11930.9512</v>
      </c>
      <c r="H47" s="5">
        <f t="shared" si="4"/>
        <v>14849.4304</v>
      </c>
      <c r="I47" s="5">
        <f t="shared" si="4"/>
        <v>17823.2208</v>
      </c>
      <c r="J47" s="5">
        <f t="shared" si="4"/>
        <v>20498.4934</v>
      </c>
      <c r="K47" s="5">
        <f t="shared" si="4"/>
        <v>23173.766</v>
      </c>
      <c r="L47" s="5">
        <f t="shared" si="4"/>
        <v>25849.0386</v>
      </c>
      <c r="M47" s="5">
        <f t="shared" si="4"/>
        <v>28281.1046</v>
      </c>
      <c r="N47" s="5">
        <f t="shared" si="4"/>
        <v>30226.7574</v>
      </c>
    </row>
    <row r="49" spans="2:15">
      <c r="B49" s="26" t="s">
        <v>340</v>
      </c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</row>
    <row r="50" spans="2:14">
      <c r="B50" s="3" t="s">
        <v>341</v>
      </c>
      <c r="C50" s="5">
        <f>'Detallado de la inversión.'!G89</f>
        <v>160500</v>
      </c>
      <c r="D50" s="5">
        <f t="shared" ref="D50:N50" si="5">C51</f>
        <v>162049</v>
      </c>
      <c r="E50" s="5">
        <f t="shared" si="5"/>
        <v>166887</v>
      </c>
      <c r="F50" s="5">
        <f t="shared" si="5"/>
        <v>174678</v>
      </c>
      <c r="G50" s="5">
        <f t="shared" si="5"/>
        <v>186057</v>
      </c>
      <c r="H50" s="5">
        <f t="shared" si="5"/>
        <v>200725</v>
      </c>
      <c r="I50" s="5">
        <f t="shared" si="5"/>
        <v>218981</v>
      </c>
      <c r="J50" s="5">
        <f t="shared" si="5"/>
        <v>240893</v>
      </c>
      <c r="K50" s="5">
        <f t="shared" si="5"/>
        <v>266094</v>
      </c>
      <c r="L50" s="5">
        <f t="shared" si="5"/>
        <v>294584</v>
      </c>
      <c r="M50" s="5">
        <f t="shared" si="5"/>
        <v>326363</v>
      </c>
      <c r="N50" s="5">
        <f t="shared" si="5"/>
        <v>361132</v>
      </c>
    </row>
    <row r="51" spans="2:14">
      <c r="B51" s="3" t="s">
        <v>342</v>
      </c>
      <c r="C51" s="5">
        <f t="shared" ref="C51:N51" si="6">C50+C25-C42</f>
        <v>162049</v>
      </c>
      <c r="D51" s="5">
        <f t="shared" si="6"/>
        <v>166887</v>
      </c>
      <c r="E51" s="5">
        <f t="shared" si="6"/>
        <v>174678</v>
      </c>
      <c r="F51" s="5">
        <f t="shared" si="6"/>
        <v>186057</v>
      </c>
      <c r="G51" s="5">
        <f t="shared" si="6"/>
        <v>200725</v>
      </c>
      <c r="H51" s="5">
        <f t="shared" si="6"/>
        <v>218981</v>
      </c>
      <c r="I51" s="5">
        <f t="shared" si="6"/>
        <v>240893</v>
      </c>
      <c r="J51" s="5">
        <f t="shared" si="6"/>
        <v>266094</v>
      </c>
      <c r="K51" s="5">
        <f t="shared" si="6"/>
        <v>294584</v>
      </c>
      <c r="L51" s="5">
        <f t="shared" si="6"/>
        <v>326363</v>
      </c>
      <c r="M51" s="5">
        <f t="shared" si="6"/>
        <v>361132</v>
      </c>
      <c r="N51" s="5">
        <f t="shared" si="6"/>
        <v>398293</v>
      </c>
    </row>
  </sheetData>
  <mergeCells count="1">
    <mergeCell ref="C16:N16"/>
  </mergeCells>
  <pageMargins left="0.75" right="0.75" top="1" bottom="1" header="0.511811023622047" footer="0.511811023622047"/>
  <pageSetup paperSize="1" orientation="portrait" horizontalDpi="300" verticalDpi="300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O49"/>
  <sheetViews>
    <sheetView zoomScale="110" zoomScaleNormal="110" workbookViewId="0">
      <pane xSplit="2" ySplit="15" topLeftCell="F40" activePane="bottomRight" state="frozen"/>
      <selection/>
      <selection pane="topRight"/>
      <selection pane="bottomLeft"/>
      <selection pane="bottomRight" activeCell="B29" sqref="B29"/>
    </sheetView>
  </sheetViews>
  <sheetFormatPr defaultColWidth="8.66666666666667" defaultRowHeight="14.25"/>
  <cols>
    <col min="1" max="1" width="1.21666666666667" customWidth="1"/>
    <col min="2" max="2" width="58.8833333333333" customWidth="1"/>
    <col min="3" max="3" width="25.5583333333333" customWidth="1"/>
    <col min="4" max="4" width="15.5583333333333" customWidth="1"/>
    <col min="5" max="13" width="11" customWidth="1"/>
    <col min="14" max="14" width="13.3333333333333" customWidth="1"/>
    <col min="15" max="15" width="16.8833333333333" customWidth="1"/>
  </cols>
  <sheetData>
    <row r="2" spans="2:6">
      <c r="B2" s="17" t="s">
        <v>282</v>
      </c>
      <c r="C2" s="17" t="s">
        <v>283</v>
      </c>
      <c r="F2" t="s">
        <v>284</v>
      </c>
    </row>
    <row r="3" spans="2:6">
      <c r="B3" s="18" t="s">
        <v>285</v>
      </c>
      <c r="C3" s="19">
        <v>50</v>
      </c>
      <c r="F3" t="s">
        <v>286</v>
      </c>
    </row>
    <row r="4" spans="2:10">
      <c r="B4" s="20" t="s">
        <v>287</v>
      </c>
      <c r="C4" s="21">
        <v>45</v>
      </c>
      <c r="D4" s="27">
        <v>0.12</v>
      </c>
      <c r="E4" t="s">
        <v>288</v>
      </c>
      <c r="I4" t="s">
        <v>238</v>
      </c>
      <c r="J4">
        <f>2000*0.14</f>
        <v>280</v>
      </c>
    </row>
    <row r="5" spans="2:10">
      <c r="B5" s="18" t="s">
        <v>289</v>
      </c>
      <c r="C5" s="19">
        <v>60</v>
      </c>
      <c r="D5" s="27">
        <v>0.1</v>
      </c>
      <c r="E5" t="s">
        <v>290</v>
      </c>
      <c r="J5">
        <f>4000*0.12</f>
        <v>480</v>
      </c>
    </row>
    <row r="6" spans="2:10">
      <c r="B6" s="20" t="s">
        <v>291</v>
      </c>
      <c r="C6" s="21">
        <v>70</v>
      </c>
      <c r="D6" s="27">
        <v>0.08</v>
      </c>
      <c r="E6" t="s">
        <v>292</v>
      </c>
      <c r="J6">
        <f>5000*0.11</f>
        <v>550</v>
      </c>
    </row>
    <row r="7" spans="2:8">
      <c r="B7" s="18" t="s">
        <v>293</v>
      </c>
      <c r="C7" s="19">
        <v>0.6</v>
      </c>
      <c r="D7">
        <f>C7*$C$19</f>
        <v>15</v>
      </c>
      <c r="E7" s="28">
        <f>D7*C4</f>
        <v>675</v>
      </c>
      <c r="F7" s="28">
        <v>750</v>
      </c>
      <c r="G7" s="28">
        <f>D7*F7</f>
        <v>11250</v>
      </c>
      <c r="H7" s="29">
        <f>G7*D4</f>
        <v>1350</v>
      </c>
    </row>
    <row r="8" spans="2:9">
      <c r="B8" s="20" t="s">
        <v>294</v>
      </c>
      <c r="C8" s="21">
        <v>0.3</v>
      </c>
      <c r="D8">
        <f>C8*$C$19</f>
        <v>7.5</v>
      </c>
      <c r="E8" s="28">
        <f>D8*C5</f>
        <v>450</v>
      </c>
      <c r="F8" s="28">
        <v>2000</v>
      </c>
      <c r="G8" s="28">
        <f>D8*F8</f>
        <v>15000</v>
      </c>
      <c r="H8" s="29">
        <f>G8*D5</f>
        <v>1500</v>
      </c>
      <c r="I8">
        <f>65*0.95</f>
        <v>61.75</v>
      </c>
    </row>
    <row r="9" spans="2:8">
      <c r="B9" s="18" t="s">
        <v>295</v>
      </c>
      <c r="C9" s="19">
        <v>0.1</v>
      </c>
      <c r="D9">
        <f>C9*$C$19</f>
        <v>2.5</v>
      </c>
      <c r="E9" s="28">
        <f>D9*C6</f>
        <v>175</v>
      </c>
      <c r="F9" s="28">
        <v>5000</v>
      </c>
      <c r="G9" s="28">
        <f>D9*F9</f>
        <v>12500</v>
      </c>
      <c r="H9" s="29">
        <f>G9*D6</f>
        <v>1000</v>
      </c>
    </row>
    <row r="10" spans="2:8">
      <c r="B10" s="20" t="s">
        <v>201</v>
      </c>
      <c r="C10" s="22">
        <v>0.05</v>
      </c>
      <c r="D10" t="s">
        <v>296</v>
      </c>
      <c r="E10">
        <f>SUM(E7:E9)</f>
        <v>1300</v>
      </c>
      <c r="G10" s="29">
        <f>SUM(G7:G9)</f>
        <v>38750</v>
      </c>
      <c r="H10" s="29">
        <f>SUM(H7:H9)</f>
        <v>3850</v>
      </c>
    </row>
    <row r="11" spans="2:3">
      <c r="B11" s="18" t="s">
        <v>297</v>
      </c>
      <c r="C11" s="23">
        <v>0.1866</v>
      </c>
    </row>
    <row r="12" spans="2:11">
      <c r="B12" s="20" t="s">
        <v>298</v>
      </c>
      <c r="C12" s="22">
        <f>1-C11</f>
        <v>0.8134</v>
      </c>
      <c r="H12">
        <f>C22/C19</f>
        <v>52</v>
      </c>
      <c r="K12">
        <f>C22/C19</f>
        <v>52</v>
      </c>
    </row>
    <row r="13" spans="2:10">
      <c r="B13" s="18" t="s">
        <v>299</v>
      </c>
      <c r="C13" s="23">
        <v>0.25</v>
      </c>
      <c r="F13">
        <f>40*32.5</f>
        <v>1300</v>
      </c>
      <c r="I13">
        <f>50-32.5</f>
        <v>17.5</v>
      </c>
      <c r="J13">
        <f>I13*C19</f>
        <v>437.5</v>
      </c>
    </row>
    <row r="14" spans="2:3">
      <c r="B14" s="20" t="s">
        <v>300</v>
      </c>
      <c r="C14" s="21">
        <v>111988</v>
      </c>
    </row>
    <row r="15" spans="2:3">
      <c r="B15" s="18" t="s">
        <v>301</v>
      </c>
      <c r="C15" s="18" t="s">
        <v>302</v>
      </c>
    </row>
    <row r="16" spans="2:3">
      <c r="B16" s="24" t="s">
        <v>303</v>
      </c>
      <c r="C16" s="25" t="s">
        <v>303</v>
      </c>
    </row>
    <row r="17" spans="3:15">
      <c r="C17" s="6" t="s">
        <v>204</v>
      </c>
      <c r="D17" s="6" t="s">
        <v>206</v>
      </c>
      <c r="E17" s="6" t="s">
        <v>208</v>
      </c>
      <c r="F17" s="6" t="s">
        <v>304</v>
      </c>
      <c r="G17" s="6" t="s">
        <v>305</v>
      </c>
      <c r="H17" s="6" t="s">
        <v>306</v>
      </c>
      <c r="I17" s="6" t="s">
        <v>307</v>
      </c>
      <c r="J17" s="6" t="s">
        <v>308</v>
      </c>
      <c r="K17" s="6" t="s">
        <v>309</v>
      </c>
      <c r="L17" s="6" t="s">
        <v>310</v>
      </c>
      <c r="M17" s="6" t="s">
        <v>311</v>
      </c>
      <c r="N17" s="6" t="s">
        <v>312</v>
      </c>
      <c r="O17" s="6" t="s">
        <v>313</v>
      </c>
    </row>
    <row r="18" spans="2:15">
      <c r="B18" s="3" t="s">
        <v>314</v>
      </c>
      <c r="C18" s="5">
        <v>13</v>
      </c>
      <c r="D18" s="5">
        <v>13</v>
      </c>
      <c r="E18" s="5">
        <v>14</v>
      </c>
      <c r="F18" s="5">
        <v>15</v>
      </c>
      <c r="G18" s="5">
        <v>15</v>
      </c>
      <c r="H18" s="5">
        <v>16</v>
      </c>
      <c r="I18" s="5">
        <v>16</v>
      </c>
      <c r="J18" s="5">
        <v>16</v>
      </c>
      <c r="K18" s="5">
        <v>17</v>
      </c>
      <c r="L18" s="5">
        <v>17</v>
      </c>
      <c r="M18" s="5">
        <v>17</v>
      </c>
      <c r="N18" s="5">
        <v>16</v>
      </c>
      <c r="O18" s="5">
        <f>SUM(C18:N18)</f>
        <v>185</v>
      </c>
    </row>
    <row r="19" spans="2:15">
      <c r="B19" s="3" t="s">
        <v>315</v>
      </c>
      <c r="C19" s="5">
        <v>25</v>
      </c>
      <c r="D19" s="5">
        <v>36</v>
      </c>
      <c r="E19" s="5">
        <v>48</v>
      </c>
      <c r="F19" s="5">
        <v>59</v>
      </c>
      <c r="G19" s="5">
        <v>71</v>
      </c>
      <c r="H19" s="5">
        <v>82</v>
      </c>
      <c r="I19" s="5">
        <v>93</v>
      </c>
      <c r="J19" s="5">
        <v>104</v>
      </c>
      <c r="K19" s="5">
        <v>115</v>
      </c>
      <c r="L19" s="5">
        <v>125</v>
      </c>
      <c r="M19" s="5">
        <v>135</v>
      </c>
      <c r="N19" s="5">
        <f>(M19+N18)*0.95</f>
        <v>143.45</v>
      </c>
      <c r="O19" s="5">
        <f>N19</f>
        <v>143.45</v>
      </c>
    </row>
    <row r="20" spans="4:14">
      <c r="D20">
        <v>36</v>
      </c>
      <c r="E20">
        <v>48</v>
      </c>
      <c r="F20">
        <v>59</v>
      </c>
      <c r="G20">
        <v>71</v>
      </c>
      <c r="H20">
        <v>82</v>
      </c>
      <c r="I20">
        <v>93</v>
      </c>
      <c r="J20">
        <v>104</v>
      </c>
      <c r="K20">
        <v>115</v>
      </c>
      <c r="L20">
        <v>125</v>
      </c>
      <c r="M20">
        <v>135</v>
      </c>
      <c r="N20">
        <v>144</v>
      </c>
    </row>
    <row r="21" spans="2:15">
      <c r="B21" s="26" t="s">
        <v>316</v>
      </c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</row>
    <row r="22" spans="2:15">
      <c r="B22" s="3" t="s">
        <v>317</v>
      </c>
      <c r="C22" s="5">
        <f>C19*($C$7*$C$4+$C$8*$C$5+$C$9*$C$6)</f>
        <v>1300</v>
      </c>
      <c r="D22" s="5">
        <f>D19*($C$7*$C$4+$C$8*$C$5+$C$9*$C$6)</f>
        <v>1872</v>
      </c>
      <c r="E22" s="5">
        <f>E19*($C$7*$C$4+$C$8*$C$5+$C$9*$C$6)</f>
        <v>2496</v>
      </c>
      <c r="F22" s="5">
        <f>F19*($C$7*$C$4+$C$8*$C$5+$C$9*$C$6)</f>
        <v>3068</v>
      </c>
      <c r="G22" s="5">
        <f>G19*($C$7*$C$4+$C$8*$C$5+$C$9*$C$6)</f>
        <v>3692</v>
      </c>
      <c r="H22" s="5">
        <f>H19*($C$7*$C$4+$C$8*$C$5+$C$9*$C$6)</f>
        <v>4264</v>
      </c>
      <c r="I22" s="5">
        <f>I19*($C$7*$C$4+$C$8*$C$5+$C$9*$C$6)</f>
        <v>4836</v>
      </c>
      <c r="J22" s="5">
        <f>J19*($C$7*$C$4+$C$8*$C$5+$C$9*$C$6)</f>
        <v>5408</v>
      </c>
      <c r="K22" s="5">
        <f>K19*($C$7*$C$4+$C$8*$C$5+$C$9*$C$6)</f>
        <v>5980</v>
      </c>
      <c r="L22" s="5">
        <f>L19*($C$7*$C$4+$C$8*$C$5+$C$9*$C$6)</f>
        <v>6500</v>
      </c>
      <c r="M22" s="5">
        <f>M19*($C$7*$C$4+$C$8*$C$5+$C$9*$C$6)</f>
        <v>7020</v>
      </c>
      <c r="N22" s="5">
        <f>N19*($C$7*$C$4+$C$8*$C$5+$C$9*$C$6)</f>
        <v>7459.4</v>
      </c>
      <c r="O22" s="5">
        <f>SUM(C22:N22)</f>
        <v>53895.4</v>
      </c>
    </row>
    <row r="23" spans="2:15">
      <c r="B23" s="3" t="s">
        <v>318</v>
      </c>
      <c r="C23" s="5">
        <f>(((C19*$C$7)*$F$7)*$D$4)+(((C19*$C$8)*$F$8)*$D$5)+(((C19*$C$9)*$F$9)*$D$6)</f>
        <v>3850</v>
      </c>
      <c r="D23" s="5">
        <f>(((D19*$C$7)*$F$7)*$D$4)+(((D19*$C$8)*$F$8)*$D$5)+(((D19*$C$9)*$F$9)*$D$6)</f>
        <v>5544</v>
      </c>
      <c r="E23" s="5">
        <f>(((E19*$C$7)*$F$7)*$D$4)+(((E19*$C$8)*$F$8)*$D$5)+(((E19*$C$9)*$F$9)*$D$6)</f>
        <v>7392</v>
      </c>
      <c r="F23" s="5">
        <f>(((F19*$C$7)*$F$7)*$D$4)+(((F19*$C$8)*$F$8)*$D$5)+(((F19*$C$9)*$F$9)*$D$6)</f>
        <v>9086</v>
      </c>
      <c r="G23" s="5">
        <f>(((G19*$C$7)*$F$7)*$D$4)+(((G19*$C$8)*$F$8)*$D$5)+(((G19*$C$9)*$F$9)*$D$6)</f>
        <v>10934</v>
      </c>
      <c r="H23" s="5">
        <f>(((H19*$C$7)*$F$7)*$D$4)+(((H19*$C$8)*$F$8)*$D$5)+(((H19*$C$9)*$F$9)*$D$6)</f>
        <v>12628</v>
      </c>
      <c r="I23" s="5">
        <f>(((I19*$C$7)*$F$7)*$D$4)+(((I19*$C$8)*$F$8)*$D$5)+(((I19*$C$9)*$F$9)*$D$6)</f>
        <v>14322</v>
      </c>
      <c r="J23" s="5">
        <f>(((J19*$C$7)*$F$7)*$D$4)+(((J19*$C$8)*$F$8)*$D$5)+(((J19*$C$9)*$F$9)*$D$6)</f>
        <v>16016</v>
      </c>
      <c r="K23" s="5">
        <f>(((K19*$C$7)*$F$7)*$D$4)+(((K19*$C$8)*$F$8)*$D$5)+(((K19*$C$9)*$F$9)*$D$6)</f>
        <v>17710</v>
      </c>
      <c r="L23" s="5">
        <f>(((L19*$C$7)*$F$7)*$D$4)+(((L19*$C$8)*$F$8)*$D$5)+(((L19*$C$9)*$F$9)*$D$6)</f>
        <v>19250</v>
      </c>
      <c r="M23" s="5">
        <f>(((M19*$C$7)*$F$7)*$D$4)+(((M19*$C$8)*$F$8)*$D$5)+(((M19*$C$9)*$F$9)*$D$6)</f>
        <v>20790</v>
      </c>
      <c r="N23" s="5">
        <f>(((N19*$C$7)*$F$7)*$D$4)+(((N19*$C$8)*$F$8)*$D$5)+(((N19*$C$9)*$F$9)*$D$6)</f>
        <v>22091.3</v>
      </c>
      <c r="O23" s="5">
        <f>SUM(C23:N23)</f>
        <v>159613.3</v>
      </c>
    </row>
    <row r="24" ht="15" customHeight="1" spans="2:15">
      <c r="B24" s="3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>
        <f>SUM(C24:N24)</f>
        <v>0</v>
      </c>
    </row>
    <row r="25" ht="15" customHeight="1" spans="2:15">
      <c r="B25" s="13" t="s">
        <v>319</v>
      </c>
      <c r="C25" s="14">
        <f t="shared" ref="C25:N25" si="0">C22+C23+C24</f>
        <v>5150</v>
      </c>
      <c r="D25" s="14">
        <f t="shared" si="0"/>
        <v>7416</v>
      </c>
      <c r="E25" s="14">
        <f t="shared" si="0"/>
        <v>9888</v>
      </c>
      <c r="F25" s="14">
        <f t="shared" si="0"/>
        <v>12154</v>
      </c>
      <c r="G25" s="14">
        <f t="shared" si="0"/>
        <v>14626</v>
      </c>
      <c r="H25" s="14">
        <f t="shared" si="0"/>
        <v>16892</v>
      </c>
      <c r="I25" s="14">
        <f t="shared" si="0"/>
        <v>19158</v>
      </c>
      <c r="J25" s="14">
        <f t="shared" si="0"/>
        <v>21424</v>
      </c>
      <c r="K25" s="14">
        <f t="shared" si="0"/>
        <v>23690</v>
      </c>
      <c r="L25" s="14">
        <f t="shared" si="0"/>
        <v>25750</v>
      </c>
      <c r="M25" s="14">
        <f t="shared" si="0"/>
        <v>27810</v>
      </c>
      <c r="N25" s="14">
        <f t="shared" si="0"/>
        <v>29550.7</v>
      </c>
      <c r="O25" s="14">
        <f>SUM(C25:N25)</f>
        <v>213508.7</v>
      </c>
    </row>
    <row r="27" spans="2:15">
      <c r="B27" s="26" t="s">
        <v>320</v>
      </c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</row>
    <row r="28" spans="2:14">
      <c r="B28" s="3" t="s">
        <v>343</v>
      </c>
      <c r="C28" s="5">
        <f>'ESTA SI VALE'!$I$60</f>
        <v>600</v>
      </c>
      <c r="D28" s="5">
        <f>'ESTA SI VALE'!$I$60</f>
        <v>600</v>
      </c>
      <c r="E28" s="5">
        <f>'ESTA SI VALE'!$I$60</f>
        <v>600</v>
      </c>
      <c r="F28" s="5">
        <f>'ESTA SI VALE'!$I$60</f>
        <v>600</v>
      </c>
      <c r="G28" s="5">
        <f>'ESTA SI VALE'!$I$60</f>
        <v>600</v>
      </c>
      <c r="H28" s="5">
        <f>'ESTA SI VALE'!$I$60</f>
        <v>600</v>
      </c>
      <c r="I28" s="5">
        <f>'ESTA SI VALE'!$I$60</f>
        <v>600</v>
      </c>
      <c r="J28" s="5">
        <f>'ESTA SI VALE'!$I$60</f>
        <v>600</v>
      </c>
      <c r="K28" s="5">
        <f>'ESTA SI VALE'!$I$60</f>
        <v>600</v>
      </c>
      <c r="L28" s="5">
        <f>'ESTA SI VALE'!$I$60</f>
        <v>600</v>
      </c>
      <c r="M28" s="5">
        <f>'ESTA SI VALE'!$I$60</f>
        <v>600</v>
      </c>
      <c r="N28" s="5">
        <f>'ESTA SI VALE'!$I$60</f>
        <v>600</v>
      </c>
    </row>
    <row r="29" spans="2:14">
      <c r="B29" s="3" t="s">
        <v>323</v>
      </c>
      <c r="C29" s="5">
        <f>'ESTA SI VALE'!$I$61</f>
        <v>1400</v>
      </c>
      <c r="D29" s="5">
        <f>'ESTA SI VALE'!$I$61</f>
        <v>1400</v>
      </c>
      <c r="E29" s="5">
        <f>'ESTA SI VALE'!$I$61</f>
        <v>1400</v>
      </c>
      <c r="F29" s="5">
        <f>'ESTA SI VALE'!$I$61</f>
        <v>1400</v>
      </c>
      <c r="G29" s="5">
        <f>'ESTA SI VALE'!$I$61</f>
        <v>1400</v>
      </c>
      <c r="H29" s="5">
        <f>'ESTA SI VALE'!$I$61</f>
        <v>1400</v>
      </c>
      <c r="I29" s="5">
        <f>'ESTA SI VALE'!$I$61</f>
        <v>1400</v>
      </c>
      <c r="J29" s="5">
        <f>'ESTA SI VALE'!$I$61</f>
        <v>1400</v>
      </c>
      <c r="K29" s="5">
        <f>'ESTA SI VALE'!$I$61</f>
        <v>1400</v>
      </c>
      <c r="L29" s="5">
        <f>'ESTA SI VALE'!$I$61</f>
        <v>1400</v>
      </c>
      <c r="M29" s="5">
        <f>'ESTA SI VALE'!$I$61</f>
        <v>1400</v>
      </c>
      <c r="N29" s="5">
        <f>'ESTA SI VALE'!$I$61</f>
        <v>1400</v>
      </c>
    </row>
    <row r="30" spans="2:14">
      <c r="B30" s="3" t="s">
        <v>324</v>
      </c>
      <c r="C30" s="5">
        <f>'ESTA SI VALE'!$I$62</f>
        <v>400</v>
      </c>
      <c r="D30" s="5">
        <f>'ESTA SI VALE'!$I$62</f>
        <v>400</v>
      </c>
      <c r="E30" s="5">
        <f>'ESTA SI VALE'!$I$62</f>
        <v>400</v>
      </c>
      <c r="F30" s="5">
        <f>'ESTA SI VALE'!$I$62</f>
        <v>400</v>
      </c>
      <c r="G30" s="5">
        <f>'ESTA SI VALE'!$I$62</f>
        <v>400</v>
      </c>
      <c r="H30" s="5">
        <f>'ESTA SI VALE'!$I$62</f>
        <v>400</v>
      </c>
      <c r="I30" s="5">
        <f>'ESTA SI VALE'!$I$62</f>
        <v>400</v>
      </c>
      <c r="J30" s="5">
        <f>'ESTA SI VALE'!$I$62</f>
        <v>400</v>
      </c>
      <c r="K30" s="5">
        <f>'ESTA SI VALE'!$I$62</f>
        <v>400</v>
      </c>
      <c r="L30" s="5">
        <f>'ESTA SI VALE'!$I$62</f>
        <v>400</v>
      </c>
      <c r="M30" s="5">
        <f>'ESTA SI VALE'!$I$62</f>
        <v>400</v>
      </c>
      <c r="N30" s="5">
        <f>'ESTA SI VALE'!$I$62</f>
        <v>400</v>
      </c>
    </row>
    <row r="31" spans="2:14">
      <c r="B31" s="3" t="s">
        <v>344</v>
      </c>
      <c r="C31" s="5">
        <f>'ESTA SI VALE'!$I$63</f>
        <v>2000</v>
      </c>
      <c r="D31" s="5">
        <f>'ESTA SI VALE'!$I$63</f>
        <v>2000</v>
      </c>
      <c r="E31" s="5">
        <f>'ESTA SI VALE'!$I$63</f>
        <v>2000</v>
      </c>
      <c r="F31" s="5">
        <f>'ESTA SI VALE'!$I$63</f>
        <v>2000</v>
      </c>
      <c r="G31" s="5">
        <f>'ESTA SI VALE'!$I$63</f>
        <v>2000</v>
      </c>
      <c r="H31" s="5">
        <f>'ESTA SI VALE'!$I$63</f>
        <v>2000</v>
      </c>
      <c r="I31" s="5">
        <f>'ESTA SI VALE'!$I$63</f>
        <v>2000</v>
      </c>
      <c r="J31" s="5">
        <f>'ESTA SI VALE'!$I$63</f>
        <v>2000</v>
      </c>
      <c r="K31" s="5">
        <f>'ESTA SI VALE'!$I$63</f>
        <v>2000</v>
      </c>
      <c r="L31" s="5">
        <f>'ESTA SI VALE'!$I$63</f>
        <v>2000</v>
      </c>
      <c r="M31" s="5">
        <f>'ESTA SI VALE'!$I$63</f>
        <v>2000</v>
      </c>
      <c r="N31" s="5">
        <f>'ESTA SI VALE'!$I$63</f>
        <v>2000</v>
      </c>
    </row>
    <row r="32" spans="2:14">
      <c r="B32" s="3" t="s">
        <v>326</v>
      </c>
      <c r="C32" s="5">
        <f>'ESTA SI VALE'!$I$64</f>
        <v>425</v>
      </c>
      <c r="D32" s="5">
        <f>'ESTA SI VALE'!$I$64</f>
        <v>425</v>
      </c>
      <c r="E32" s="5">
        <f>'ESTA SI VALE'!$I$64</f>
        <v>425</v>
      </c>
      <c r="F32" s="5">
        <f>'ESTA SI VALE'!$I$64</f>
        <v>425</v>
      </c>
      <c r="G32" s="5">
        <f>'ESTA SI VALE'!$I$64</f>
        <v>425</v>
      </c>
      <c r="H32" s="5">
        <f>'ESTA SI VALE'!$I$64</f>
        <v>425</v>
      </c>
      <c r="I32" s="5">
        <f>'ESTA SI VALE'!$I$64</f>
        <v>425</v>
      </c>
      <c r="J32" s="5">
        <f>'ESTA SI VALE'!$I$64</f>
        <v>425</v>
      </c>
      <c r="K32" s="5">
        <f>'ESTA SI VALE'!$I$64</f>
        <v>425</v>
      </c>
      <c r="L32" s="5">
        <f>'ESTA SI VALE'!$I$64</f>
        <v>425</v>
      </c>
      <c r="M32" s="5">
        <f>'ESTA SI VALE'!$I$64</f>
        <v>425</v>
      </c>
      <c r="N32" s="5">
        <f>'ESTA SI VALE'!$I$64</f>
        <v>425</v>
      </c>
    </row>
    <row r="33" spans="2:14">
      <c r="B33" s="3" t="s">
        <v>327</v>
      </c>
      <c r="C33" s="5">
        <f>'ESTA SI VALE'!$I$65</f>
        <v>330</v>
      </c>
      <c r="D33" s="5">
        <f>'ESTA SI VALE'!$I$65</f>
        <v>330</v>
      </c>
      <c r="E33" s="5">
        <f>'ESTA SI VALE'!$I$65</f>
        <v>330</v>
      </c>
      <c r="F33" s="5">
        <f>'ESTA SI VALE'!$I$65</f>
        <v>330</v>
      </c>
      <c r="G33" s="5">
        <f>'ESTA SI VALE'!$I$65</f>
        <v>330</v>
      </c>
      <c r="H33" s="5">
        <f>'ESTA SI VALE'!$I$65</f>
        <v>330</v>
      </c>
      <c r="I33" s="5">
        <f>'ESTA SI VALE'!$I$65</f>
        <v>330</v>
      </c>
      <c r="J33" s="5">
        <f>'ESTA SI VALE'!$I$65</f>
        <v>330</v>
      </c>
      <c r="K33" s="5">
        <f>'ESTA SI VALE'!$I$65</f>
        <v>330</v>
      </c>
      <c r="L33" s="5">
        <f>'ESTA SI VALE'!$I$65</f>
        <v>330</v>
      </c>
      <c r="M33" s="5">
        <f>'ESTA SI VALE'!$I$65</f>
        <v>330</v>
      </c>
      <c r="N33" s="5">
        <f>'ESTA SI VALE'!$I$65</f>
        <v>330</v>
      </c>
    </row>
    <row r="34" spans="2:14">
      <c r="B34" s="3" t="s">
        <v>328</v>
      </c>
      <c r="C34" s="5">
        <f>'ESTA SI VALE'!$I$66</f>
        <v>500</v>
      </c>
      <c r="D34" s="5">
        <f>'ESTA SI VALE'!$I$66</f>
        <v>500</v>
      </c>
      <c r="E34" s="5">
        <f>'ESTA SI VALE'!$I$66</f>
        <v>500</v>
      </c>
      <c r="F34" s="5">
        <f>'ESTA SI VALE'!$I$66</f>
        <v>500</v>
      </c>
      <c r="G34" s="5">
        <f>'ESTA SI VALE'!$I$66</f>
        <v>500</v>
      </c>
      <c r="H34" s="5">
        <f>'ESTA SI VALE'!$I$66</f>
        <v>500</v>
      </c>
      <c r="I34" s="5">
        <f>'ESTA SI VALE'!$I$66</f>
        <v>500</v>
      </c>
      <c r="J34" s="5">
        <f>'ESTA SI VALE'!$I$66</f>
        <v>500</v>
      </c>
      <c r="K34" s="5">
        <f>'ESTA SI VALE'!$I$66</f>
        <v>500</v>
      </c>
      <c r="L34" s="5">
        <f>'ESTA SI VALE'!$I$66</f>
        <v>500</v>
      </c>
      <c r="M34" s="5">
        <f>'ESTA SI VALE'!$I$66</f>
        <v>500</v>
      </c>
      <c r="N34" s="5">
        <f>'ESTA SI VALE'!$I$66</f>
        <v>500</v>
      </c>
    </row>
    <row r="35" spans="2:14">
      <c r="B35" s="3" t="s">
        <v>329</v>
      </c>
      <c r="C35" s="5">
        <f>'ESTA SI VALE'!$I$67</f>
        <v>80</v>
      </c>
      <c r="D35" s="5">
        <f>'ESTA SI VALE'!$I$67</f>
        <v>80</v>
      </c>
      <c r="E35" s="5">
        <f>'ESTA SI VALE'!$I$67</f>
        <v>80</v>
      </c>
      <c r="F35" s="5">
        <f>'ESTA SI VALE'!$I$67</f>
        <v>80</v>
      </c>
      <c r="G35" s="5">
        <f>'ESTA SI VALE'!$I$67</f>
        <v>80</v>
      </c>
      <c r="H35" s="5">
        <f>'ESTA SI VALE'!$I$67</f>
        <v>80</v>
      </c>
      <c r="I35" s="5">
        <f>'ESTA SI VALE'!$I$67</f>
        <v>80</v>
      </c>
      <c r="J35" s="5">
        <f>'ESTA SI VALE'!$I$67</f>
        <v>80</v>
      </c>
      <c r="K35" s="5">
        <f>'ESTA SI VALE'!$I$67</f>
        <v>80</v>
      </c>
      <c r="L35" s="5">
        <f>'ESTA SI VALE'!$I$67</f>
        <v>80</v>
      </c>
      <c r="M35" s="5">
        <f>'ESTA SI VALE'!$I$67</f>
        <v>80</v>
      </c>
      <c r="N35" s="5">
        <f>'ESTA SI VALE'!$I$67</f>
        <v>80</v>
      </c>
    </row>
    <row r="36" spans="2:14">
      <c r="B36" s="3" t="s">
        <v>330</v>
      </c>
      <c r="C36" s="5">
        <f>'ESTA SI VALE'!$I$68</f>
        <v>154</v>
      </c>
      <c r="D36" s="5">
        <f>'ESTA SI VALE'!$I$68</f>
        <v>154</v>
      </c>
      <c r="E36" s="5">
        <f>'ESTA SI VALE'!$I$68</f>
        <v>154</v>
      </c>
      <c r="F36" s="5">
        <f>'ESTA SI VALE'!$I$68</f>
        <v>154</v>
      </c>
      <c r="G36" s="5">
        <f>'ESTA SI VALE'!$I$68</f>
        <v>154</v>
      </c>
      <c r="H36" s="5">
        <f>'ESTA SI VALE'!$I$68</f>
        <v>154</v>
      </c>
      <c r="I36" s="5">
        <f>'ESTA SI VALE'!$I$68</f>
        <v>154</v>
      </c>
      <c r="J36" s="5">
        <f>'ESTA SI VALE'!$I$68</f>
        <v>154</v>
      </c>
      <c r="K36" s="5">
        <f>'ESTA SI VALE'!$I$68</f>
        <v>154</v>
      </c>
      <c r="L36" s="5">
        <f>'ESTA SI VALE'!$I$68</f>
        <v>154</v>
      </c>
      <c r="M36" s="5">
        <f>'ESTA SI VALE'!$I$68</f>
        <v>154</v>
      </c>
      <c r="N36" s="5">
        <f>'ESTA SI VALE'!$I$68</f>
        <v>154</v>
      </c>
    </row>
    <row r="37" spans="2:15">
      <c r="B37" s="3" t="s">
        <v>331</v>
      </c>
      <c r="C37" s="5">
        <v>800</v>
      </c>
      <c r="D37" s="5">
        <v>800</v>
      </c>
      <c r="E37" s="5">
        <v>800</v>
      </c>
      <c r="F37" s="5">
        <v>800</v>
      </c>
      <c r="G37" s="5">
        <v>800</v>
      </c>
      <c r="H37" s="5">
        <v>800</v>
      </c>
      <c r="I37" s="5">
        <v>500</v>
      </c>
      <c r="J37" s="5">
        <v>500</v>
      </c>
      <c r="K37" s="5">
        <v>500</v>
      </c>
      <c r="L37" s="5">
        <v>500</v>
      </c>
      <c r="M37" s="5">
        <v>500</v>
      </c>
      <c r="N37" s="5">
        <v>500</v>
      </c>
      <c r="O37" s="5">
        <f>SUM(C37:N37)</f>
        <v>7800</v>
      </c>
    </row>
    <row r="38" spans="2:15">
      <c r="B38" s="3" t="s">
        <v>332</v>
      </c>
      <c r="C38" s="5">
        <v>0</v>
      </c>
      <c r="D38" s="5">
        <v>0</v>
      </c>
      <c r="E38" s="5">
        <v>350</v>
      </c>
      <c r="F38" s="5">
        <v>350</v>
      </c>
      <c r="G38" s="5">
        <v>350</v>
      </c>
      <c r="H38" s="5">
        <v>350</v>
      </c>
      <c r="I38" s="5">
        <v>350</v>
      </c>
      <c r="J38" s="5">
        <v>350</v>
      </c>
      <c r="K38" s="5">
        <v>350</v>
      </c>
      <c r="L38" s="5">
        <v>350</v>
      </c>
      <c r="M38" s="5">
        <v>350</v>
      </c>
      <c r="N38" s="5">
        <v>350</v>
      </c>
      <c r="O38" s="5">
        <f>SUM(C38:N38)</f>
        <v>3500</v>
      </c>
    </row>
    <row r="39" ht="15" customHeight="1" spans="2:15">
      <c r="B39" s="3" t="s">
        <v>334</v>
      </c>
      <c r="C39" s="5">
        <v>1322</v>
      </c>
      <c r="D39" s="5">
        <v>1322</v>
      </c>
      <c r="E39" s="5">
        <v>1308</v>
      </c>
      <c r="F39" s="5">
        <v>1308</v>
      </c>
      <c r="G39" s="5">
        <v>1308</v>
      </c>
      <c r="H39" s="5">
        <v>1308</v>
      </c>
      <c r="I39" s="5">
        <v>1241</v>
      </c>
      <c r="J39" s="5">
        <v>1241</v>
      </c>
      <c r="K39" s="5">
        <v>1241</v>
      </c>
      <c r="L39" s="5">
        <v>1241</v>
      </c>
      <c r="M39" s="5">
        <v>1241</v>
      </c>
      <c r="N39" s="5">
        <v>1241</v>
      </c>
      <c r="O39" s="5">
        <f>SUM(C39:N39)</f>
        <v>15322</v>
      </c>
    </row>
    <row r="40" ht="15" customHeight="1" spans="2:15">
      <c r="B40" s="13" t="s">
        <v>335</v>
      </c>
      <c r="C40" s="14">
        <f t="shared" ref="C40:N40" si="1">C28+C29+C30+C31+C32+C33+C34+C35+C36+C37+C38+C39</f>
        <v>8011</v>
      </c>
      <c r="D40" s="14">
        <f t="shared" si="1"/>
        <v>8011</v>
      </c>
      <c r="E40" s="14">
        <f t="shared" si="1"/>
        <v>8347</v>
      </c>
      <c r="F40" s="14">
        <f t="shared" si="1"/>
        <v>8347</v>
      </c>
      <c r="G40" s="14">
        <f t="shared" si="1"/>
        <v>8347</v>
      </c>
      <c r="H40" s="14">
        <f t="shared" si="1"/>
        <v>8347</v>
      </c>
      <c r="I40" s="14">
        <f t="shared" si="1"/>
        <v>7980</v>
      </c>
      <c r="J40" s="14">
        <f t="shared" si="1"/>
        <v>7980</v>
      </c>
      <c r="K40" s="14">
        <f t="shared" si="1"/>
        <v>7980</v>
      </c>
      <c r="L40" s="14">
        <f t="shared" si="1"/>
        <v>7980</v>
      </c>
      <c r="M40" s="14">
        <f t="shared" si="1"/>
        <v>7980</v>
      </c>
      <c r="N40" s="14">
        <f t="shared" si="1"/>
        <v>7980</v>
      </c>
      <c r="O40" s="14">
        <f>SUM(C40:N40)</f>
        <v>97290</v>
      </c>
    </row>
    <row r="41" ht="15" customHeight="1"/>
    <row r="42" ht="15" customHeight="1" spans="2:15">
      <c r="B42" s="13" t="s">
        <v>336</v>
      </c>
      <c r="C42" s="14">
        <f t="shared" ref="C42:N42" si="2">C25-C40</f>
        <v>-2861</v>
      </c>
      <c r="D42" s="14">
        <f t="shared" si="2"/>
        <v>-595.000000000001</v>
      </c>
      <c r="E42" s="14">
        <f t="shared" si="2"/>
        <v>1541</v>
      </c>
      <c r="F42" s="14">
        <f t="shared" si="2"/>
        <v>3807</v>
      </c>
      <c r="G42" s="14">
        <f t="shared" si="2"/>
        <v>6279</v>
      </c>
      <c r="H42" s="14">
        <f t="shared" si="2"/>
        <v>8545</v>
      </c>
      <c r="I42" s="14">
        <f t="shared" si="2"/>
        <v>11178</v>
      </c>
      <c r="J42" s="14">
        <f t="shared" si="2"/>
        <v>13444</v>
      </c>
      <c r="K42" s="14">
        <f t="shared" si="2"/>
        <v>15710</v>
      </c>
      <c r="L42" s="14">
        <f t="shared" si="2"/>
        <v>17770</v>
      </c>
      <c r="M42" s="14">
        <f t="shared" si="2"/>
        <v>19830</v>
      </c>
      <c r="N42" s="14">
        <f t="shared" si="2"/>
        <v>21570.7</v>
      </c>
      <c r="O42" s="14">
        <f>SUM(C42:N42)</f>
        <v>116218.7</v>
      </c>
    </row>
    <row r="43" spans="2:15">
      <c r="B43" s="3" t="s">
        <v>337</v>
      </c>
      <c r="C43" s="5">
        <f>C42</f>
        <v>-2861</v>
      </c>
      <c r="D43" s="5">
        <f t="shared" ref="D43:N43" si="3">C43+D42</f>
        <v>-3456</v>
      </c>
      <c r="E43" s="5">
        <f t="shared" si="3"/>
        <v>-1915</v>
      </c>
      <c r="F43" s="5">
        <f t="shared" si="3"/>
        <v>1892</v>
      </c>
      <c r="G43" s="5">
        <f t="shared" si="3"/>
        <v>8171</v>
      </c>
      <c r="H43" s="5">
        <f t="shared" si="3"/>
        <v>16716</v>
      </c>
      <c r="I43" s="5">
        <f t="shared" si="3"/>
        <v>27894</v>
      </c>
      <c r="J43" s="5">
        <f t="shared" si="3"/>
        <v>41338</v>
      </c>
      <c r="K43" s="5">
        <f t="shared" si="3"/>
        <v>57048</v>
      </c>
      <c r="L43" s="5">
        <f t="shared" si="3"/>
        <v>74818</v>
      </c>
      <c r="M43" s="5">
        <f t="shared" si="3"/>
        <v>94648</v>
      </c>
      <c r="N43" s="5">
        <f t="shared" si="3"/>
        <v>116218.7</v>
      </c>
      <c r="O43" s="5">
        <f>N43</f>
        <v>116218.7</v>
      </c>
    </row>
    <row r="44" spans="2:14">
      <c r="B44" s="3" t="s">
        <v>338</v>
      </c>
      <c r="C44" s="5">
        <f>C42*$C$11</f>
        <v>-533.8626</v>
      </c>
      <c r="D44" s="5">
        <f>D42*$C$11</f>
        <v>-111.027</v>
      </c>
      <c r="E44" s="5">
        <f>E42*$C$11</f>
        <v>287.5506</v>
      </c>
      <c r="F44" s="5">
        <f>F42*$C$11</f>
        <v>710.3862</v>
      </c>
      <c r="G44" s="5">
        <f>G42*$C$11</f>
        <v>1171.6614</v>
      </c>
      <c r="H44" s="5">
        <f>H42*$C$11</f>
        <v>1594.497</v>
      </c>
      <c r="I44" s="5">
        <f>I42*$C$11</f>
        <v>2085.8148</v>
      </c>
      <c r="J44" s="5">
        <f>J42*$C$11</f>
        <v>2508.6504</v>
      </c>
      <c r="K44" s="5">
        <f>K42*$C$11</f>
        <v>2931.486</v>
      </c>
      <c r="L44" s="5">
        <f>L42*$C$11</f>
        <v>3315.882</v>
      </c>
      <c r="M44" s="5">
        <f>M42*$C$11</f>
        <v>3700.278</v>
      </c>
      <c r="N44" s="5">
        <f>N42*$C$11</f>
        <v>4025.09262</v>
      </c>
    </row>
    <row r="45" spans="2:14">
      <c r="B45" s="3" t="s">
        <v>339</v>
      </c>
      <c r="C45" s="5">
        <f t="shared" ref="C45:N45" si="4">C42-C44</f>
        <v>-2327.1374</v>
      </c>
      <c r="D45" s="5">
        <f t="shared" si="4"/>
        <v>-483.973000000001</v>
      </c>
      <c r="E45" s="5">
        <f t="shared" si="4"/>
        <v>1253.4494</v>
      </c>
      <c r="F45" s="5">
        <f t="shared" si="4"/>
        <v>3096.6138</v>
      </c>
      <c r="G45" s="5">
        <f t="shared" si="4"/>
        <v>5107.3386</v>
      </c>
      <c r="H45" s="5">
        <f t="shared" si="4"/>
        <v>6950.503</v>
      </c>
      <c r="I45" s="5">
        <f t="shared" si="4"/>
        <v>9092.1852</v>
      </c>
      <c r="J45" s="5">
        <f t="shared" si="4"/>
        <v>10935.3496</v>
      </c>
      <c r="K45" s="5">
        <f t="shared" si="4"/>
        <v>12778.514</v>
      </c>
      <c r="L45" s="5">
        <f t="shared" si="4"/>
        <v>14454.118</v>
      </c>
      <c r="M45" s="5">
        <f t="shared" si="4"/>
        <v>16129.722</v>
      </c>
      <c r="N45" s="5">
        <f t="shared" si="4"/>
        <v>17545.60738</v>
      </c>
    </row>
    <row r="47" spans="2:15">
      <c r="B47" s="26" t="s">
        <v>340</v>
      </c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</row>
    <row r="48" spans="2:14">
      <c r="B48" s="3" t="s">
        <v>341</v>
      </c>
      <c r="C48" s="5">
        <f>'Detallado de la inversión.'!G89</f>
        <v>160500</v>
      </c>
      <c r="D48" s="5">
        <f t="shared" ref="D48:N48" si="5">C49</f>
        <v>157639</v>
      </c>
      <c r="E48" s="5">
        <f t="shared" si="5"/>
        <v>157044</v>
      </c>
      <c r="F48" s="5">
        <f t="shared" si="5"/>
        <v>158585</v>
      </c>
      <c r="G48" s="5">
        <f t="shared" si="5"/>
        <v>162392</v>
      </c>
      <c r="H48" s="5">
        <f t="shared" si="5"/>
        <v>168671</v>
      </c>
      <c r="I48" s="5">
        <f t="shared" si="5"/>
        <v>177216</v>
      </c>
      <c r="J48" s="5">
        <f t="shared" si="5"/>
        <v>188394</v>
      </c>
      <c r="K48" s="5">
        <f t="shared" si="5"/>
        <v>201838</v>
      </c>
      <c r="L48" s="5">
        <f t="shared" si="5"/>
        <v>217548</v>
      </c>
      <c r="M48" s="5">
        <f t="shared" si="5"/>
        <v>235318</v>
      </c>
      <c r="N48" s="5">
        <f t="shared" si="5"/>
        <v>255148</v>
      </c>
    </row>
    <row r="49" spans="2:14">
      <c r="B49" s="3" t="s">
        <v>342</v>
      </c>
      <c r="C49" s="5">
        <f t="shared" ref="C49:N49" si="6">C48+C25-C40</f>
        <v>157639</v>
      </c>
      <c r="D49" s="5">
        <f t="shared" si="6"/>
        <v>157044</v>
      </c>
      <c r="E49" s="5">
        <f t="shared" si="6"/>
        <v>158585</v>
      </c>
      <c r="F49" s="5">
        <f t="shared" si="6"/>
        <v>162392</v>
      </c>
      <c r="G49" s="5">
        <f t="shared" si="6"/>
        <v>168671</v>
      </c>
      <c r="H49" s="5">
        <f t="shared" si="6"/>
        <v>177216</v>
      </c>
      <c r="I49" s="5">
        <f t="shared" si="6"/>
        <v>188394</v>
      </c>
      <c r="J49" s="5">
        <f t="shared" si="6"/>
        <v>201838</v>
      </c>
      <c r="K49" s="5">
        <f t="shared" si="6"/>
        <v>217548</v>
      </c>
      <c r="L49" s="5">
        <f t="shared" si="6"/>
        <v>235318</v>
      </c>
      <c r="M49" s="5">
        <f t="shared" si="6"/>
        <v>255148</v>
      </c>
      <c r="N49" s="5">
        <f t="shared" si="6"/>
        <v>276718.7</v>
      </c>
    </row>
  </sheetData>
  <mergeCells count="1">
    <mergeCell ref="C16:N16"/>
  </mergeCells>
  <pageMargins left="0.75" right="0.75" top="1" bottom="1" header="0.511811023622047" footer="0.511811023622047"/>
  <pageSetup paperSize="1" orientation="portrait" horizontalDpi="300" verticalDpi="300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O49"/>
  <sheetViews>
    <sheetView zoomScale="95" zoomScaleNormal="95" workbookViewId="0">
      <pane xSplit="2" ySplit="15" topLeftCell="D43" activePane="bottomRight" state="frozen"/>
      <selection/>
      <selection pane="topRight"/>
      <selection pane="bottomLeft"/>
      <selection pane="bottomRight" activeCell="F5" sqref="F5"/>
    </sheetView>
  </sheetViews>
  <sheetFormatPr defaultColWidth="8.66666666666667" defaultRowHeight="14.25"/>
  <cols>
    <col min="1" max="1" width="1.21666666666667" customWidth="1"/>
    <col min="2" max="2" width="58.8833333333333" customWidth="1"/>
    <col min="3" max="3" width="25.5583333333333" customWidth="1"/>
    <col min="4" max="4" width="15.5583333333333" customWidth="1"/>
    <col min="5" max="13" width="11" customWidth="1"/>
    <col min="14" max="14" width="13.3333333333333" customWidth="1"/>
    <col min="15" max="15" width="16.8833333333333" customWidth="1"/>
  </cols>
  <sheetData>
    <row r="2" spans="2:3">
      <c r="B2" s="17" t="s">
        <v>282</v>
      </c>
      <c r="C2" s="17" t="s">
        <v>283</v>
      </c>
    </row>
    <row r="3" spans="2:3">
      <c r="B3" s="18" t="s">
        <v>285</v>
      </c>
      <c r="C3" s="19">
        <v>50</v>
      </c>
    </row>
    <row r="4" spans="2:3">
      <c r="B4" s="20" t="s">
        <v>287</v>
      </c>
      <c r="C4" s="21">
        <v>25</v>
      </c>
    </row>
    <row r="5" spans="2:3">
      <c r="B5" s="18" t="s">
        <v>289</v>
      </c>
      <c r="C5" s="19">
        <v>40</v>
      </c>
    </row>
    <row r="6" spans="2:3">
      <c r="B6" s="20" t="s">
        <v>291</v>
      </c>
      <c r="C6" s="21">
        <v>55</v>
      </c>
    </row>
    <row r="7" spans="2:3">
      <c r="B7" s="18" t="s">
        <v>293</v>
      </c>
      <c r="C7" s="19">
        <v>0.6</v>
      </c>
    </row>
    <row r="8" spans="2:3">
      <c r="B8" s="20" t="s">
        <v>294</v>
      </c>
      <c r="C8" s="21">
        <v>0.3</v>
      </c>
    </row>
    <row r="9" spans="2:3">
      <c r="B9" s="18" t="s">
        <v>295</v>
      </c>
      <c r="C9" s="19">
        <v>0.1</v>
      </c>
    </row>
    <row r="10" spans="2:6">
      <c r="B10" s="20" t="s">
        <v>201</v>
      </c>
      <c r="C10" s="22">
        <v>0.05</v>
      </c>
      <c r="E10" t="s">
        <v>345</v>
      </c>
      <c r="F10">
        <v>500</v>
      </c>
    </row>
    <row r="11" spans="2:6">
      <c r="B11" s="18" t="s">
        <v>297</v>
      </c>
      <c r="C11" s="23">
        <v>0.1866</v>
      </c>
      <c r="E11" t="s">
        <v>346</v>
      </c>
      <c r="F11" s="27">
        <v>0.1</v>
      </c>
    </row>
    <row r="12" spans="2:3">
      <c r="B12" s="20" t="s">
        <v>298</v>
      </c>
      <c r="C12" s="22">
        <f>1-C11</f>
        <v>0.8134</v>
      </c>
    </row>
    <row r="13" spans="2:3">
      <c r="B13" s="18" t="s">
        <v>299</v>
      </c>
      <c r="C13" s="23">
        <v>0.25</v>
      </c>
    </row>
    <row r="14" spans="2:3">
      <c r="B14" s="20" t="s">
        <v>300</v>
      </c>
      <c r="C14" s="21">
        <v>111988</v>
      </c>
    </row>
    <row r="15" spans="2:3">
      <c r="B15" s="18" t="s">
        <v>301</v>
      </c>
      <c r="C15" s="18" t="s">
        <v>302</v>
      </c>
    </row>
    <row r="16" spans="2:3">
      <c r="B16" s="24" t="s">
        <v>303</v>
      </c>
      <c r="C16" s="25" t="s">
        <v>303</v>
      </c>
    </row>
    <row r="17" spans="3:15">
      <c r="C17" s="6" t="s">
        <v>204</v>
      </c>
      <c r="D17" s="6" t="s">
        <v>206</v>
      </c>
      <c r="E17" s="6" t="s">
        <v>208</v>
      </c>
      <c r="F17" s="6" t="s">
        <v>304</v>
      </c>
      <c r="G17" s="6" t="s">
        <v>305</v>
      </c>
      <c r="H17" s="6" t="s">
        <v>306</v>
      </c>
      <c r="I17" s="6" t="s">
        <v>307</v>
      </c>
      <c r="J17" s="6" t="s">
        <v>308</v>
      </c>
      <c r="K17" s="6" t="s">
        <v>309</v>
      </c>
      <c r="L17" s="6" t="s">
        <v>310</v>
      </c>
      <c r="M17" s="6" t="s">
        <v>311</v>
      </c>
      <c r="N17" s="6" t="s">
        <v>312</v>
      </c>
      <c r="O17" s="6" t="s">
        <v>313</v>
      </c>
    </row>
    <row r="18" spans="2:15">
      <c r="B18" s="3" t="s">
        <v>314</v>
      </c>
      <c r="C18" s="5">
        <v>13</v>
      </c>
      <c r="D18" s="5">
        <v>13</v>
      </c>
      <c r="E18" s="5">
        <v>14</v>
      </c>
      <c r="F18" s="5">
        <v>15</v>
      </c>
      <c r="G18" s="5">
        <v>15</v>
      </c>
      <c r="H18" s="5">
        <v>16</v>
      </c>
      <c r="I18" s="5">
        <v>16</v>
      </c>
      <c r="J18" s="5">
        <v>16</v>
      </c>
      <c r="K18" s="5">
        <v>17</v>
      </c>
      <c r="L18" s="5">
        <v>17</v>
      </c>
      <c r="M18" s="5">
        <v>17</v>
      </c>
      <c r="N18" s="5">
        <v>16</v>
      </c>
      <c r="O18" s="5">
        <f>SUM(C18:N18)</f>
        <v>185</v>
      </c>
    </row>
    <row r="19" spans="2:15">
      <c r="B19" s="3" t="s">
        <v>315</v>
      </c>
      <c r="C19" s="5">
        <v>40</v>
      </c>
      <c r="D19" s="5">
        <v>51</v>
      </c>
      <c r="E19" s="5">
        <v>62</v>
      </c>
      <c r="F19" s="5">
        <v>74</v>
      </c>
      <c r="G19" s="5">
        <v>85</v>
      </c>
      <c r="H19" s="5">
        <v>97</v>
      </c>
      <c r="I19" s="5">
        <v>108</v>
      </c>
      <c r="J19" s="5">
        <v>119</v>
      </c>
      <c r="K19" s="5">
        <v>130</v>
      </c>
      <c r="L19" s="5">
        <v>141</v>
      </c>
      <c r="M19" s="5">
        <v>151</v>
      </c>
      <c r="N19" s="5">
        <v>159</v>
      </c>
      <c r="O19" s="5">
        <f>N19</f>
        <v>159</v>
      </c>
    </row>
    <row r="21" spans="2:15">
      <c r="B21" s="26" t="s">
        <v>316</v>
      </c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</row>
    <row r="22" spans="2:15">
      <c r="B22" s="3" t="s">
        <v>317</v>
      </c>
      <c r="C22" s="5">
        <f>C19*($C$7*$C$4+$C$8*$C$5+$C$9*$C$6)</f>
        <v>1300</v>
      </c>
      <c r="D22" s="5">
        <f>D19*($C$7*$C$4+$C$8*$C$5+$C$9*$C$6)</f>
        <v>1657.5</v>
      </c>
      <c r="E22" s="5">
        <f>E19*($C$7*$C$4+$C$8*$C$5+$C$9*$C$6)</f>
        <v>2015</v>
      </c>
      <c r="F22" s="5">
        <f>F19*($C$7*$C$4+$C$8*$C$5+$C$9*$C$6)</f>
        <v>2405</v>
      </c>
      <c r="G22" s="5">
        <f>G19*($C$7*$C$4+$C$8*$C$5+$C$9*$C$6)</f>
        <v>2762.5</v>
      </c>
      <c r="H22" s="5">
        <f>H19*($C$7*$C$4+$C$8*$C$5+$C$9*$C$6)</f>
        <v>3152.5</v>
      </c>
      <c r="I22" s="5">
        <f>I19*($C$7*$C$4+$C$8*$C$5+$C$9*$C$6)</f>
        <v>3510</v>
      </c>
      <c r="J22" s="5">
        <f>J19*($C$7*$C$4+$C$8*$C$5+$C$9*$C$6)</f>
        <v>3867.5</v>
      </c>
      <c r="K22" s="5">
        <f>K19*($C$7*$C$4+$C$8*$C$5+$C$9*$C$6)</f>
        <v>4225</v>
      </c>
      <c r="L22" s="5">
        <f>L19*($C$7*$C$4+$C$8*$C$5+$C$9*$C$6)</f>
        <v>4582.5</v>
      </c>
      <c r="M22" s="5">
        <f>M19*($C$7*$C$4+$C$8*$C$5+$C$9*$C$6)</f>
        <v>4907.5</v>
      </c>
      <c r="N22" s="5">
        <f>N19*($C$7*$C$4+$C$8*$C$5+$C$9*$C$6)</f>
        <v>5167.5</v>
      </c>
      <c r="O22" s="5">
        <f>SUM(C22:N22)</f>
        <v>39552.5</v>
      </c>
    </row>
    <row r="23" spans="2:15">
      <c r="B23" s="3" t="s">
        <v>318</v>
      </c>
      <c r="C23" s="5">
        <f t="shared" ref="C23:N23" si="0">C19*($F$10*$F$11)</f>
        <v>2000</v>
      </c>
      <c r="D23" s="5">
        <f t="shared" si="0"/>
        <v>2550</v>
      </c>
      <c r="E23" s="5">
        <f t="shared" si="0"/>
        <v>3100</v>
      </c>
      <c r="F23" s="5">
        <f t="shared" si="0"/>
        <v>3700</v>
      </c>
      <c r="G23" s="5">
        <f t="shared" si="0"/>
        <v>4250</v>
      </c>
      <c r="H23" s="5">
        <f t="shared" si="0"/>
        <v>4850</v>
      </c>
      <c r="I23" s="5">
        <f t="shared" si="0"/>
        <v>5400</v>
      </c>
      <c r="J23" s="5">
        <f t="shared" si="0"/>
        <v>5950</v>
      </c>
      <c r="K23" s="5">
        <f t="shared" si="0"/>
        <v>6500</v>
      </c>
      <c r="L23" s="5">
        <f t="shared" si="0"/>
        <v>7050</v>
      </c>
      <c r="M23" s="5">
        <f t="shared" si="0"/>
        <v>7550</v>
      </c>
      <c r="N23" s="5">
        <f t="shared" si="0"/>
        <v>7950</v>
      </c>
      <c r="O23" s="5">
        <f>SUM(C23:N23)</f>
        <v>60850</v>
      </c>
    </row>
    <row r="24" ht="15" customHeight="1" spans="2:15">
      <c r="B24" s="3" t="s">
        <v>347</v>
      </c>
      <c r="C24" s="5">
        <f>1500-(C22+C23)</f>
        <v>-1800</v>
      </c>
      <c r="D24" s="5">
        <f>2168-(D22+D23)</f>
        <v>-2039.5</v>
      </c>
      <c r="E24" s="5">
        <f>3100-(E22+E23)</f>
        <v>-2015</v>
      </c>
      <c r="F24" s="5">
        <f>3700-(F22+F23)</f>
        <v>-2405</v>
      </c>
      <c r="G24" s="5">
        <f>4250-(G22+G23)</f>
        <v>-2762.5</v>
      </c>
      <c r="H24" s="5">
        <f>4850-(H22+H23)</f>
        <v>-3152.5</v>
      </c>
      <c r="I24" s="5">
        <f>5400-(I22+I23)</f>
        <v>-3510</v>
      </c>
      <c r="J24" s="5">
        <f>5950-(J22+J23)</f>
        <v>-3867.5</v>
      </c>
      <c r="K24" s="5">
        <f>6500-(K22+K23)</f>
        <v>-4225</v>
      </c>
      <c r="L24" s="5">
        <f>7050-(L22+L23)</f>
        <v>-4582.5</v>
      </c>
      <c r="M24" s="5">
        <f>7550-(M22+M23)</f>
        <v>-4907.5</v>
      </c>
      <c r="N24" s="5">
        <f>7950-(N22+N23)</f>
        <v>-5167.5</v>
      </c>
      <c r="O24" s="5">
        <f>SUM(C24:N24)</f>
        <v>-40434.5</v>
      </c>
    </row>
    <row r="25" ht="15" customHeight="1" spans="2:15">
      <c r="B25" s="13" t="s">
        <v>319</v>
      </c>
      <c r="C25" s="14">
        <f t="shared" ref="C25:N25" si="1">C22+C23+C24</f>
        <v>1500</v>
      </c>
      <c r="D25" s="14">
        <f t="shared" si="1"/>
        <v>2168</v>
      </c>
      <c r="E25" s="14">
        <f t="shared" si="1"/>
        <v>3100</v>
      </c>
      <c r="F25" s="14">
        <f t="shared" si="1"/>
        <v>3700</v>
      </c>
      <c r="G25" s="14">
        <f t="shared" si="1"/>
        <v>4250</v>
      </c>
      <c r="H25" s="14">
        <f t="shared" si="1"/>
        <v>4850</v>
      </c>
      <c r="I25" s="14">
        <f t="shared" si="1"/>
        <v>5400</v>
      </c>
      <c r="J25" s="14">
        <f t="shared" si="1"/>
        <v>5950</v>
      </c>
      <c r="K25" s="14">
        <f t="shared" si="1"/>
        <v>6500</v>
      </c>
      <c r="L25" s="14">
        <f t="shared" si="1"/>
        <v>7050</v>
      </c>
      <c r="M25" s="14">
        <f t="shared" si="1"/>
        <v>7550</v>
      </c>
      <c r="N25" s="14">
        <f t="shared" si="1"/>
        <v>7950</v>
      </c>
      <c r="O25" s="14">
        <f>SUM(C25:N25)</f>
        <v>59968</v>
      </c>
    </row>
    <row r="27" spans="2:15">
      <c r="B27" s="26" t="s">
        <v>320</v>
      </c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</row>
    <row r="28" spans="2:14">
      <c r="B28" s="3" t="s">
        <v>343</v>
      </c>
      <c r="C28" s="5">
        <f>'ESTA SI VALE'!$I$60</f>
        <v>600</v>
      </c>
      <c r="D28" s="5">
        <f>'ESTA SI VALE'!$I$60</f>
        <v>600</v>
      </c>
      <c r="E28" s="5">
        <f>'ESTA SI VALE'!$I$60</f>
        <v>600</v>
      </c>
      <c r="F28" s="5">
        <f>'ESTA SI VALE'!$I$60</f>
        <v>600</v>
      </c>
      <c r="G28" s="5">
        <f>'ESTA SI VALE'!$I$60</f>
        <v>600</v>
      </c>
      <c r="H28" s="5">
        <f>'ESTA SI VALE'!$I$60</f>
        <v>600</v>
      </c>
      <c r="I28" s="5">
        <f>'ESTA SI VALE'!$I$60</f>
        <v>600</v>
      </c>
      <c r="J28" s="5">
        <f>'ESTA SI VALE'!$I$60</f>
        <v>600</v>
      </c>
      <c r="K28" s="5">
        <f>'ESTA SI VALE'!$I$60</f>
        <v>600</v>
      </c>
      <c r="L28" s="5">
        <f>'ESTA SI VALE'!$I$60</f>
        <v>600</v>
      </c>
      <c r="M28" s="5">
        <f>'ESTA SI VALE'!$I$60</f>
        <v>600</v>
      </c>
      <c r="N28" s="5">
        <f>'ESTA SI VALE'!$I$60</f>
        <v>600</v>
      </c>
    </row>
    <row r="29" spans="2:14">
      <c r="B29" s="3" t="s">
        <v>323</v>
      </c>
      <c r="C29" s="5">
        <f>'ESTA SI VALE'!$I$61</f>
        <v>1400</v>
      </c>
      <c r="D29" s="5">
        <f>'ESTA SI VALE'!$I$61</f>
        <v>1400</v>
      </c>
      <c r="E29" s="5">
        <f>'ESTA SI VALE'!$I$61</f>
        <v>1400</v>
      </c>
      <c r="F29" s="5">
        <f>'ESTA SI VALE'!$I$61</f>
        <v>1400</v>
      </c>
      <c r="G29" s="5">
        <f>'ESTA SI VALE'!$I$61</f>
        <v>1400</v>
      </c>
      <c r="H29" s="5">
        <f>'ESTA SI VALE'!$I$61</f>
        <v>1400</v>
      </c>
      <c r="I29" s="5">
        <f>'ESTA SI VALE'!$I$61</f>
        <v>1400</v>
      </c>
      <c r="J29" s="5">
        <f>'ESTA SI VALE'!$I$61</f>
        <v>1400</v>
      </c>
      <c r="K29" s="5">
        <f>'ESTA SI VALE'!$I$61</f>
        <v>1400</v>
      </c>
      <c r="L29" s="5">
        <f>'ESTA SI VALE'!$I$61</f>
        <v>1400</v>
      </c>
      <c r="M29" s="5">
        <f>'ESTA SI VALE'!$I$61</f>
        <v>1400</v>
      </c>
      <c r="N29" s="5">
        <f>'ESTA SI VALE'!$I$61</f>
        <v>1400</v>
      </c>
    </row>
    <row r="30" spans="2:14">
      <c r="B30" s="3" t="s">
        <v>324</v>
      </c>
      <c r="C30" s="5">
        <f>'ESTA SI VALE'!$I$62</f>
        <v>400</v>
      </c>
      <c r="D30" s="5">
        <f>'ESTA SI VALE'!$I$62</f>
        <v>400</v>
      </c>
      <c r="E30" s="5">
        <f>'ESTA SI VALE'!$I$62</f>
        <v>400</v>
      </c>
      <c r="F30" s="5">
        <f>'ESTA SI VALE'!$I$62</f>
        <v>400</v>
      </c>
      <c r="G30" s="5">
        <f>'ESTA SI VALE'!$I$62</f>
        <v>400</v>
      </c>
      <c r="H30" s="5">
        <f>'ESTA SI VALE'!$I$62</f>
        <v>400</v>
      </c>
      <c r="I30" s="5">
        <f>'ESTA SI VALE'!$I$62</f>
        <v>400</v>
      </c>
      <c r="J30" s="5">
        <f>'ESTA SI VALE'!$I$62</f>
        <v>400</v>
      </c>
      <c r="K30" s="5">
        <f>'ESTA SI VALE'!$I$62</f>
        <v>400</v>
      </c>
      <c r="L30" s="5">
        <f>'ESTA SI VALE'!$I$62</f>
        <v>400</v>
      </c>
      <c r="M30" s="5">
        <f>'ESTA SI VALE'!$I$62</f>
        <v>400</v>
      </c>
      <c r="N30" s="5">
        <f>'ESTA SI VALE'!$I$62</f>
        <v>400</v>
      </c>
    </row>
    <row r="31" spans="2:14">
      <c r="B31" s="3" t="s">
        <v>344</v>
      </c>
      <c r="C31" s="5">
        <f>'ESTA SI VALE'!$I$63</f>
        <v>2000</v>
      </c>
      <c r="D31" s="5">
        <f>'ESTA SI VALE'!$I$63</f>
        <v>2000</v>
      </c>
      <c r="E31" s="5">
        <f>'ESTA SI VALE'!$I$63</f>
        <v>2000</v>
      </c>
      <c r="F31" s="5">
        <f>'ESTA SI VALE'!$I$63</f>
        <v>2000</v>
      </c>
      <c r="G31" s="5">
        <f>'ESTA SI VALE'!$I$63</f>
        <v>2000</v>
      </c>
      <c r="H31" s="5">
        <f>'ESTA SI VALE'!$I$63</f>
        <v>2000</v>
      </c>
      <c r="I31" s="5">
        <f>'ESTA SI VALE'!$I$63</f>
        <v>2000</v>
      </c>
      <c r="J31" s="5">
        <f>'ESTA SI VALE'!$I$63</f>
        <v>2000</v>
      </c>
      <c r="K31" s="5">
        <f>'ESTA SI VALE'!$I$63</f>
        <v>2000</v>
      </c>
      <c r="L31" s="5">
        <f>'ESTA SI VALE'!$I$63</f>
        <v>2000</v>
      </c>
      <c r="M31" s="5">
        <f>'ESTA SI VALE'!$I$63</f>
        <v>2000</v>
      </c>
      <c r="N31" s="5">
        <f>'ESTA SI VALE'!$I$63</f>
        <v>2000</v>
      </c>
    </row>
    <row r="32" spans="2:14">
      <c r="B32" s="3" t="s">
        <v>326</v>
      </c>
      <c r="C32" s="5">
        <f>'ESTA SI VALE'!$I$64</f>
        <v>425</v>
      </c>
      <c r="D32" s="5">
        <f>'ESTA SI VALE'!$I$64</f>
        <v>425</v>
      </c>
      <c r="E32" s="5">
        <f>'ESTA SI VALE'!$I$64</f>
        <v>425</v>
      </c>
      <c r="F32" s="5">
        <f>'ESTA SI VALE'!$I$64</f>
        <v>425</v>
      </c>
      <c r="G32" s="5">
        <f>'ESTA SI VALE'!$I$64</f>
        <v>425</v>
      </c>
      <c r="H32" s="5">
        <f>'ESTA SI VALE'!$I$64</f>
        <v>425</v>
      </c>
      <c r="I32" s="5">
        <f>'ESTA SI VALE'!$I$64</f>
        <v>425</v>
      </c>
      <c r="J32" s="5">
        <f>'ESTA SI VALE'!$I$64</f>
        <v>425</v>
      </c>
      <c r="K32" s="5">
        <f>'ESTA SI VALE'!$I$64</f>
        <v>425</v>
      </c>
      <c r="L32" s="5">
        <f>'ESTA SI VALE'!$I$64</f>
        <v>425</v>
      </c>
      <c r="M32" s="5">
        <f>'ESTA SI VALE'!$I$64</f>
        <v>425</v>
      </c>
      <c r="N32" s="5">
        <f>'ESTA SI VALE'!$I$64</f>
        <v>425</v>
      </c>
    </row>
    <row r="33" spans="2:14">
      <c r="B33" s="3" t="s">
        <v>327</v>
      </c>
      <c r="C33" s="5">
        <f>'ESTA SI VALE'!$I$65</f>
        <v>330</v>
      </c>
      <c r="D33" s="5">
        <f>'ESTA SI VALE'!$I$65</f>
        <v>330</v>
      </c>
      <c r="E33" s="5">
        <f>'ESTA SI VALE'!$I$65</f>
        <v>330</v>
      </c>
      <c r="F33" s="5">
        <f>'ESTA SI VALE'!$I$65</f>
        <v>330</v>
      </c>
      <c r="G33" s="5">
        <f>'ESTA SI VALE'!$I$65</f>
        <v>330</v>
      </c>
      <c r="H33" s="5">
        <f>'ESTA SI VALE'!$I$65</f>
        <v>330</v>
      </c>
      <c r="I33" s="5">
        <f>'ESTA SI VALE'!$I$65</f>
        <v>330</v>
      </c>
      <c r="J33" s="5">
        <f>'ESTA SI VALE'!$I$65</f>
        <v>330</v>
      </c>
      <c r="K33" s="5">
        <f>'ESTA SI VALE'!$I$65</f>
        <v>330</v>
      </c>
      <c r="L33" s="5">
        <f>'ESTA SI VALE'!$I$65</f>
        <v>330</v>
      </c>
      <c r="M33" s="5">
        <f>'ESTA SI VALE'!$I$65</f>
        <v>330</v>
      </c>
      <c r="N33" s="5">
        <f>'ESTA SI VALE'!$I$65</f>
        <v>330</v>
      </c>
    </row>
    <row r="34" spans="2:14">
      <c r="B34" s="3" t="s">
        <v>328</v>
      </c>
      <c r="C34" s="5">
        <f>'ESTA SI VALE'!$I$66</f>
        <v>500</v>
      </c>
      <c r="D34" s="5">
        <f>'ESTA SI VALE'!$I$66</f>
        <v>500</v>
      </c>
      <c r="E34" s="5">
        <f>'ESTA SI VALE'!$I$66</f>
        <v>500</v>
      </c>
      <c r="F34" s="5">
        <f>'ESTA SI VALE'!$I$66</f>
        <v>500</v>
      </c>
      <c r="G34" s="5">
        <f>'ESTA SI VALE'!$I$66</f>
        <v>500</v>
      </c>
      <c r="H34" s="5">
        <f>'ESTA SI VALE'!$I$66</f>
        <v>500</v>
      </c>
      <c r="I34" s="5">
        <f>'ESTA SI VALE'!$I$66</f>
        <v>500</v>
      </c>
      <c r="J34" s="5">
        <f>'ESTA SI VALE'!$I$66</f>
        <v>500</v>
      </c>
      <c r="K34" s="5">
        <f>'ESTA SI VALE'!$I$66</f>
        <v>500</v>
      </c>
      <c r="L34" s="5">
        <f>'ESTA SI VALE'!$I$66</f>
        <v>500</v>
      </c>
      <c r="M34" s="5">
        <f>'ESTA SI VALE'!$I$66</f>
        <v>500</v>
      </c>
      <c r="N34" s="5">
        <f>'ESTA SI VALE'!$I$66</f>
        <v>500</v>
      </c>
    </row>
    <row r="35" spans="2:14">
      <c r="B35" s="3" t="s">
        <v>329</v>
      </c>
      <c r="C35" s="5">
        <f>'ESTA SI VALE'!$I$67</f>
        <v>80</v>
      </c>
      <c r="D35" s="5">
        <f>'ESTA SI VALE'!$I$67</f>
        <v>80</v>
      </c>
      <c r="E35" s="5">
        <f>'ESTA SI VALE'!$I$67</f>
        <v>80</v>
      </c>
      <c r="F35" s="5">
        <f>'ESTA SI VALE'!$I$67</f>
        <v>80</v>
      </c>
      <c r="G35" s="5">
        <f>'ESTA SI VALE'!$I$67</f>
        <v>80</v>
      </c>
      <c r="H35" s="5">
        <f>'ESTA SI VALE'!$I$67</f>
        <v>80</v>
      </c>
      <c r="I35" s="5">
        <f>'ESTA SI VALE'!$I$67</f>
        <v>80</v>
      </c>
      <c r="J35" s="5">
        <f>'ESTA SI VALE'!$I$67</f>
        <v>80</v>
      </c>
      <c r="K35" s="5">
        <f>'ESTA SI VALE'!$I$67</f>
        <v>80</v>
      </c>
      <c r="L35" s="5">
        <f>'ESTA SI VALE'!$I$67</f>
        <v>80</v>
      </c>
      <c r="M35" s="5">
        <f>'ESTA SI VALE'!$I$67</f>
        <v>80</v>
      </c>
      <c r="N35" s="5">
        <f>'ESTA SI VALE'!$I$67</f>
        <v>80</v>
      </c>
    </row>
    <row r="36" spans="2:14">
      <c r="B36" s="3" t="s">
        <v>330</v>
      </c>
      <c r="C36" s="5">
        <f>'ESTA SI VALE'!$I$68</f>
        <v>154</v>
      </c>
      <c r="D36" s="5">
        <f>'ESTA SI VALE'!$I$68</f>
        <v>154</v>
      </c>
      <c r="E36" s="5">
        <f>'ESTA SI VALE'!$I$68</f>
        <v>154</v>
      </c>
      <c r="F36" s="5">
        <f>'ESTA SI VALE'!$I$68</f>
        <v>154</v>
      </c>
      <c r="G36" s="5">
        <f>'ESTA SI VALE'!$I$68</f>
        <v>154</v>
      </c>
      <c r="H36" s="5">
        <f>'ESTA SI VALE'!$I$68</f>
        <v>154</v>
      </c>
      <c r="I36" s="5">
        <f>'ESTA SI VALE'!$I$68</f>
        <v>154</v>
      </c>
      <c r="J36" s="5">
        <f>'ESTA SI VALE'!$I$68</f>
        <v>154</v>
      </c>
      <c r="K36" s="5">
        <f>'ESTA SI VALE'!$I$68</f>
        <v>154</v>
      </c>
      <c r="L36" s="5">
        <f>'ESTA SI VALE'!$I$68</f>
        <v>154</v>
      </c>
      <c r="M36" s="5">
        <f>'ESTA SI VALE'!$I$68</f>
        <v>154</v>
      </c>
      <c r="N36" s="5">
        <f>'ESTA SI VALE'!$I$68</f>
        <v>154</v>
      </c>
    </row>
    <row r="37" spans="2:15">
      <c r="B37" s="3" t="s">
        <v>331</v>
      </c>
      <c r="C37" s="5">
        <v>800</v>
      </c>
      <c r="D37" s="5">
        <v>800</v>
      </c>
      <c r="E37" s="5">
        <v>800</v>
      </c>
      <c r="F37" s="5">
        <v>800</v>
      </c>
      <c r="G37" s="5">
        <v>800</v>
      </c>
      <c r="H37" s="5">
        <v>800</v>
      </c>
      <c r="I37" s="5">
        <v>500</v>
      </c>
      <c r="J37" s="5">
        <v>500</v>
      </c>
      <c r="K37" s="5">
        <v>500</v>
      </c>
      <c r="L37" s="5">
        <v>500</v>
      </c>
      <c r="M37" s="5">
        <v>500</v>
      </c>
      <c r="N37" s="5">
        <v>500</v>
      </c>
      <c r="O37" s="5">
        <f>SUM(C37:N37)</f>
        <v>7800</v>
      </c>
    </row>
    <row r="38" spans="2:15">
      <c r="B38" s="3" t="s">
        <v>332</v>
      </c>
      <c r="C38" s="5">
        <v>0</v>
      </c>
      <c r="D38" s="5">
        <v>0</v>
      </c>
      <c r="E38" s="5">
        <v>350</v>
      </c>
      <c r="F38" s="5">
        <v>350</v>
      </c>
      <c r="G38" s="5">
        <v>350</v>
      </c>
      <c r="H38" s="5">
        <v>350</v>
      </c>
      <c r="I38" s="5">
        <v>350</v>
      </c>
      <c r="J38" s="5">
        <v>350</v>
      </c>
      <c r="K38" s="5">
        <v>350</v>
      </c>
      <c r="L38" s="5">
        <v>350</v>
      </c>
      <c r="M38" s="5">
        <v>350</v>
      </c>
      <c r="N38" s="5">
        <v>350</v>
      </c>
      <c r="O38" s="5">
        <f>SUM(C38:N38)</f>
        <v>3500</v>
      </c>
    </row>
    <row r="39" ht="15" customHeight="1" spans="2:15">
      <c r="B39" s="3" t="s">
        <v>334</v>
      </c>
      <c r="C39" s="5">
        <v>1322</v>
      </c>
      <c r="D39" s="5">
        <v>1322</v>
      </c>
      <c r="E39" s="5">
        <v>1308</v>
      </c>
      <c r="F39" s="5">
        <v>1308</v>
      </c>
      <c r="G39" s="5">
        <v>1308</v>
      </c>
      <c r="H39" s="5">
        <v>1308</v>
      </c>
      <c r="I39" s="5">
        <v>1241</v>
      </c>
      <c r="J39" s="5">
        <v>1241</v>
      </c>
      <c r="K39" s="5">
        <v>1241</v>
      </c>
      <c r="L39" s="5">
        <v>1241</v>
      </c>
      <c r="M39" s="5">
        <v>1241</v>
      </c>
      <c r="N39" s="5">
        <v>1241</v>
      </c>
      <c r="O39" s="5">
        <f>SUM(C39:N39)</f>
        <v>15322</v>
      </c>
    </row>
    <row r="40" ht="15" customHeight="1" spans="2:15">
      <c r="B40" s="13" t="s">
        <v>335</v>
      </c>
      <c r="C40" s="14">
        <f t="shared" ref="C40:N40" si="2">C28+C29+C30+C31+C32+C33+C34+C35+C36+C37+C38+C39</f>
        <v>8011</v>
      </c>
      <c r="D40" s="14">
        <f t="shared" si="2"/>
        <v>8011</v>
      </c>
      <c r="E40" s="14">
        <f t="shared" si="2"/>
        <v>8347</v>
      </c>
      <c r="F40" s="14">
        <f t="shared" si="2"/>
        <v>8347</v>
      </c>
      <c r="G40" s="14">
        <f t="shared" si="2"/>
        <v>8347</v>
      </c>
      <c r="H40" s="14">
        <f t="shared" si="2"/>
        <v>8347</v>
      </c>
      <c r="I40" s="14">
        <f t="shared" si="2"/>
        <v>7980</v>
      </c>
      <c r="J40" s="14">
        <f t="shared" si="2"/>
        <v>7980</v>
      </c>
      <c r="K40" s="14">
        <f t="shared" si="2"/>
        <v>7980</v>
      </c>
      <c r="L40" s="14">
        <f t="shared" si="2"/>
        <v>7980</v>
      </c>
      <c r="M40" s="14">
        <f t="shared" si="2"/>
        <v>7980</v>
      </c>
      <c r="N40" s="14">
        <f t="shared" si="2"/>
        <v>7980</v>
      </c>
      <c r="O40" s="14">
        <f>SUM(C40:N40)</f>
        <v>97290</v>
      </c>
    </row>
    <row r="41" ht="15" customHeight="1"/>
    <row r="42" ht="15" customHeight="1" spans="2:15">
      <c r="B42" s="13" t="s">
        <v>336</v>
      </c>
      <c r="C42" s="14">
        <f t="shared" ref="C42:N42" si="3">C25-C40</f>
        <v>-6511</v>
      </c>
      <c r="D42" s="14">
        <f t="shared" si="3"/>
        <v>-5843</v>
      </c>
      <c r="E42" s="14">
        <f t="shared" si="3"/>
        <v>-5247</v>
      </c>
      <c r="F42" s="14">
        <f t="shared" si="3"/>
        <v>-4647</v>
      </c>
      <c r="G42" s="14">
        <f t="shared" si="3"/>
        <v>-4097</v>
      </c>
      <c r="H42" s="14">
        <f t="shared" si="3"/>
        <v>-3497</v>
      </c>
      <c r="I42" s="14">
        <f t="shared" si="3"/>
        <v>-2580</v>
      </c>
      <c r="J42" s="14">
        <f t="shared" si="3"/>
        <v>-2030</v>
      </c>
      <c r="K42" s="14">
        <f t="shared" si="3"/>
        <v>-1480</v>
      </c>
      <c r="L42" s="14">
        <f t="shared" si="3"/>
        <v>-930</v>
      </c>
      <c r="M42" s="14">
        <f t="shared" si="3"/>
        <v>-430</v>
      </c>
      <c r="N42" s="14">
        <f t="shared" si="3"/>
        <v>-30</v>
      </c>
      <c r="O42" s="14">
        <f>SUM(C42:N42)</f>
        <v>-37322</v>
      </c>
    </row>
    <row r="43" spans="2:15">
      <c r="B43" s="3" t="s">
        <v>337</v>
      </c>
      <c r="C43" s="5">
        <f>C42</f>
        <v>-6511</v>
      </c>
      <c r="D43" s="5">
        <f t="shared" ref="D43:N43" si="4">C43+D42</f>
        <v>-12354</v>
      </c>
      <c r="E43" s="5">
        <f t="shared" si="4"/>
        <v>-17601</v>
      </c>
      <c r="F43" s="5">
        <f t="shared" si="4"/>
        <v>-22248</v>
      </c>
      <c r="G43" s="5">
        <f t="shared" si="4"/>
        <v>-26345</v>
      </c>
      <c r="H43" s="5">
        <f t="shared" si="4"/>
        <v>-29842</v>
      </c>
      <c r="I43" s="5">
        <f t="shared" si="4"/>
        <v>-32422</v>
      </c>
      <c r="J43" s="5">
        <f t="shared" si="4"/>
        <v>-34452</v>
      </c>
      <c r="K43" s="5">
        <f t="shared" si="4"/>
        <v>-35932</v>
      </c>
      <c r="L43" s="5">
        <f t="shared" si="4"/>
        <v>-36862</v>
      </c>
      <c r="M43" s="5">
        <f t="shared" si="4"/>
        <v>-37292</v>
      </c>
      <c r="N43" s="5">
        <f t="shared" si="4"/>
        <v>-37322</v>
      </c>
      <c r="O43" s="5">
        <f>N43</f>
        <v>-37322</v>
      </c>
    </row>
    <row r="44" spans="2:14">
      <c r="B44" s="3" t="s">
        <v>338</v>
      </c>
      <c r="C44" s="5">
        <f>C42*$C$11</f>
        <v>-1214.9526</v>
      </c>
      <c r="D44" s="5">
        <f>D42*$C$11</f>
        <v>-1090.3038</v>
      </c>
      <c r="E44" s="5">
        <f>E42*$C$11</f>
        <v>-979.0902</v>
      </c>
      <c r="F44" s="5">
        <f>F42*$C$11</f>
        <v>-867.1302</v>
      </c>
      <c r="G44" s="5">
        <f>G42*$C$11</f>
        <v>-764.5002</v>
      </c>
      <c r="H44" s="5">
        <f>H42*$C$11</f>
        <v>-652.5402</v>
      </c>
      <c r="I44" s="5">
        <f>I42*$C$11</f>
        <v>-481.428</v>
      </c>
      <c r="J44" s="5">
        <f>J42*$C$11</f>
        <v>-378.798</v>
      </c>
      <c r="K44" s="5">
        <f>K42*$C$11</f>
        <v>-276.168</v>
      </c>
      <c r="L44" s="5">
        <f>L42*$C$11</f>
        <v>-173.538</v>
      </c>
      <c r="M44" s="5">
        <f>M42*$C$11</f>
        <v>-80.238</v>
      </c>
      <c r="N44" s="5">
        <f>N42*$C$11</f>
        <v>-5.598</v>
      </c>
    </row>
    <row r="45" spans="2:14">
      <c r="B45" s="3" t="s">
        <v>339</v>
      </c>
      <c r="C45" s="5">
        <f t="shared" ref="C45:N45" si="5">C42-C44</f>
        <v>-5296.0474</v>
      </c>
      <c r="D45" s="5">
        <f t="shared" si="5"/>
        <v>-4752.6962</v>
      </c>
      <c r="E45" s="5">
        <f t="shared" si="5"/>
        <v>-4267.9098</v>
      </c>
      <c r="F45" s="5">
        <f t="shared" si="5"/>
        <v>-3779.8698</v>
      </c>
      <c r="G45" s="5">
        <f t="shared" si="5"/>
        <v>-3332.4998</v>
      </c>
      <c r="H45" s="5">
        <f t="shared" si="5"/>
        <v>-2844.4598</v>
      </c>
      <c r="I45" s="5">
        <f t="shared" si="5"/>
        <v>-2098.572</v>
      </c>
      <c r="J45" s="5">
        <f t="shared" si="5"/>
        <v>-1651.202</v>
      </c>
      <c r="K45" s="5">
        <f t="shared" si="5"/>
        <v>-1203.832</v>
      </c>
      <c r="L45" s="5">
        <f t="shared" si="5"/>
        <v>-756.462</v>
      </c>
      <c r="M45" s="5">
        <f t="shared" si="5"/>
        <v>-349.762</v>
      </c>
      <c r="N45" s="5">
        <f t="shared" si="5"/>
        <v>-24.402</v>
      </c>
    </row>
    <row r="47" spans="2:15">
      <c r="B47" s="26" t="s">
        <v>340</v>
      </c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</row>
    <row r="48" spans="2:14">
      <c r="B48" s="3" t="s">
        <v>341</v>
      </c>
      <c r="C48" s="5">
        <f>'Detallado de la inversión.'!G89</f>
        <v>160500</v>
      </c>
      <c r="D48" s="5">
        <f t="shared" ref="D48:N48" si="6">C49</f>
        <v>153989</v>
      </c>
      <c r="E48" s="5">
        <f t="shared" si="6"/>
        <v>148146</v>
      </c>
      <c r="F48" s="5">
        <f t="shared" si="6"/>
        <v>142899</v>
      </c>
      <c r="G48" s="5">
        <f t="shared" si="6"/>
        <v>138252</v>
      </c>
      <c r="H48" s="5">
        <f t="shared" si="6"/>
        <v>134155</v>
      </c>
      <c r="I48" s="5">
        <f t="shared" si="6"/>
        <v>130658</v>
      </c>
      <c r="J48" s="5">
        <f t="shared" si="6"/>
        <v>128078</v>
      </c>
      <c r="K48" s="5">
        <f t="shared" si="6"/>
        <v>126048</v>
      </c>
      <c r="L48" s="5">
        <f t="shared" si="6"/>
        <v>124568</v>
      </c>
      <c r="M48" s="5">
        <f t="shared" si="6"/>
        <v>123638</v>
      </c>
      <c r="N48" s="5">
        <f t="shared" si="6"/>
        <v>123208</v>
      </c>
    </row>
    <row r="49" spans="2:14">
      <c r="B49" s="3" t="s">
        <v>342</v>
      </c>
      <c r="C49" s="5">
        <f t="shared" ref="C49:N49" si="7">C48+C25-C40</f>
        <v>153989</v>
      </c>
      <c r="D49" s="5">
        <f t="shared" si="7"/>
        <v>148146</v>
      </c>
      <c r="E49" s="5">
        <f t="shared" si="7"/>
        <v>142899</v>
      </c>
      <c r="F49" s="5">
        <f t="shared" si="7"/>
        <v>138252</v>
      </c>
      <c r="G49" s="5">
        <f t="shared" si="7"/>
        <v>134155</v>
      </c>
      <c r="H49" s="5">
        <f t="shared" si="7"/>
        <v>130658</v>
      </c>
      <c r="I49" s="5">
        <f t="shared" si="7"/>
        <v>128078</v>
      </c>
      <c r="J49" s="5">
        <f t="shared" si="7"/>
        <v>126048</v>
      </c>
      <c r="K49" s="5">
        <f t="shared" si="7"/>
        <v>124568</v>
      </c>
      <c r="L49" s="5">
        <f t="shared" si="7"/>
        <v>123638</v>
      </c>
      <c r="M49" s="5">
        <f t="shared" si="7"/>
        <v>123208</v>
      </c>
      <c r="N49" s="5">
        <f t="shared" si="7"/>
        <v>123178</v>
      </c>
    </row>
  </sheetData>
  <mergeCells count="1">
    <mergeCell ref="C16:N16"/>
  </mergeCells>
  <pageMargins left="0.75" right="0.75" top="1" bottom="1" header="0.511811023622047" footer="0.511811023622047"/>
  <pageSetup paperSize="1" orientation="portrait" horizontalDpi="300" verticalDpi="300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O29"/>
  <sheetViews>
    <sheetView zoomScale="95" zoomScaleNormal="95" workbookViewId="0">
      <pane xSplit="2" ySplit="10" topLeftCell="C11" activePane="bottomRight" state="frozen"/>
      <selection/>
      <selection pane="topRight"/>
      <selection pane="bottomLeft"/>
      <selection pane="bottomRight" activeCell="C8" sqref="C8"/>
    </sheetView>
  </sheetViews>
  <sheetFormatPr defaultColWidth="8.66666666666667" defaultRowHeight="14.25"/>
  <cols>
    <col min="1" max="1" width="2.21666666666667" customWidth="1"/>
    <col min="2" max="2" width="39.2166666666667" customWidth="1"/>
    <col min="3" max="3" width="18.775" customWidth="1"/>
    <col min="4" max="14" width="11" customWidth="1"/>
    <col min="15" max="15" width="11.5583333333333" customWidth="1"/>
  </cols>
  <sheetData>
    <row r="2" spans="2:3">
      <c r="B2" s="17" t="s">
        <v>282</v>
      </c>
      <c r="C2" s="17" t="s">
        <v>283</v>
      </c>
    </row>
    <row r="3" spans="2:3">
      <c r="B3" s="18" t="s">
        <v>348</v>
      </c>
      <c r="C3" s="19">
        <f>'Año 1 escenario 1'!N19</f>
        <v>159</v>
      </c>
    </row>
    <row r="4" spans="2:3">
      <c r="B4" s="20" t="s">
        <v>349</v>
      </c>
      <c r="C4" s="21">
        <v>102000</v>
      </c>
    </row>
    <row r="5" spans="2:3">
      <c r="B5" s="18" t="s">
        <v>350</v>
      </c>
      <c r="C5" s="19">
        <v>96000</v>
      </c>
    </row>
    <row r="6" spans="2:3">
      <c r="B6" s="20" t="s">
        <v>297</v>
      </c>
      <c r="C6" s="22">
        <v>0.1866</v>
      </c>
    </row>
    <row r="7" spans="2:3">
      <c r="B7" s="18" t="s">
        <v>298</v>
      </c>
      <c r="C7" s="23">
        <f>1-C6</f>
        <v>0.8134</v>
      </c>
    </row>
    <row r="8" spans="2:3">
      <c r="B8" s="20" t="s">
        <v>351</v>
      </c>
      <c r="C8" s="20" t="s">
        <v>352</v>
      </c>
    </row>
    <row r="9" spans="2:3">
      <c r="B9" s="24" t="s">
        <v>353</v>
      </c>
      <c r="C9" s="25" t="s">
        <v>353</v>
      </c>
    </row>
    <row r="10" spans="3:15">
      <c r="C10" s="6" t="s">
        <v>204</v>
      </c>
      <c r="D10" s="6" t="s">
        <v>206</v>
      </c>
      <c r="E10" s="6" t="s">
        <v>208</v>
      </c>
      <c r="F10" s="6" t="s">
        <v>304</v>
      </c>
      <c r="G10" s="6" t="s">
        <v>305</v>
      </c>
      <c r="H10" s="6" t="s">
        <v>306</v>
      </c>
      <c r="I10" s="6" t="s">
        <v>307</v>
      </c>
      <c r="J10" s="6" t="s">
        <v>308</v>
      </c>
      <c r="K10" s="6" t="s">
        <v>309</v>
      </c>
      <c r="L10" s="6" t="s">
        <v>310</v>
      </c>
      <c r="M10" s="6" t="s">
        <v>311</v>
      </c>
      <c r="N10" s="6" t="s">
        <v>312</v>
      </c>
      <c r="O10" s="6" t="s">
        <v>313</v>
      </c>
    </row>
    <row r="11" spans="2:15">
      <c r="B11" s="3" t="s">
        <v>354</v>
      </c>
      <c r="C11" s="5">
        <v>187</v>
      </c>
      <c r="D11" s="5">
        <v>187</v>
      </c>
      <c r="E11" s="5">
        <v>187</v>
      </c>
      <c r="F11" s="5">
        <v>187</v>
      </c>
      <c r="G11" s="5">
        <v>187</v>
      </c>
      <c r="H11" s="5">
        <v>187</v>
      </c>
      <c r="I11" s="5">
        <v>187</v>
      </c>
      <c r="J11" s="5">
        <v>187</v>
      </c>
      <c r="K11" s="5">
        <v>187</v>
      </c>
      <c r="L11" s="5">
        <v>187</v>
      </c>
      <c r="M11" s="5">
        <v>187</v>
      </c>
      <c r="N11" s="5">
        <v>187</v>
      </c>
      <c r="O11" s="5">
        <f>N11</f>
        <v>187</v>
      </c>
    </row>
    <row r="13" spans="2:15">
      <c r="B13" s="26" t="s">
        <v>316</v>
      </c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</row>
    <row r="14" ht="15" customHeight="1" spans="2:15">
      <c r="B14" s="3" t="s">
        <v>355</v>
      </c>
      <c r="C14" s="5">
        <v>6667.17</v>
      </c>
      <c r="D14" s="5">
        <v>6667.17</v>
      </c>
      <c r="E14" s="5">
        <v>6667.17</v>
      </c>
      <c r="F14" s="5">
        <v>8046.58</v>
      </c>
      <c r="G14" s="5">
        <v>8046.58</v>
      </c>
      <c r="H14" s="5">
        <v>8046.58</v>
      </c>
      <c r="I14" s="5">
        <v>9196.09</v>
      </c>
      <c r="J14" s="5">
        <v>9196.09</v>
      </c>
      <c r="K14" s="5">
        <v>9196.09</v>
      </c>
      <c r="L14" s="5">
        <v>10090.16</v>
      </c>
      <c r="M14" s="5">
        <v>10090.16</v>
      </c>
      <c r="N14" s="5">
        <v>10090.16</v>
      </c>
      <c r="O14" s="5">
        <f>SUM(C14:N14)</f>
        <v>102000</v>
      </c>
    </row>
    <row r="15" ht="15" customHeight="1" spans="2:15">
      <c r="B15" s="13" t="s">
        <v>319</v>
      </c>
      <c r="C15" s="14">
        <f t="shared" ref="C15:N15" si="0">C14</f>
        <v>6667.17</v>
      </c>
      <c r="D15" s="14">
        <f t="shared" si="0"/>
        <v>6667.17</v>
      </c>
      <c r="E15" s="14">
        <f t="shared" si="0"/>
        <v>6667.17</v>
      </c>
      <c r="F15" s="14">
        <f t="shared" si="0"/>
        <v>8046.58</v>
      </c>
      <c r="G15" s="14">
        <f t="shared" si="0"/>
        <v>8046.58</v>
      </c>
      <c r="H15" s="14">
        <f t="shared" si="0"/>
        <v>8046.58</v>
      </c>
      <c r="I15" s="14">
        <f t="shared" si="0"/>
        <v>9196.09</v>
      </c>
      <c r="J15" s="14">
        <f t="shared" si="0"/>
        <v>9196.09</v>
      </c>
      <c r="K15" s="14">
        <f t="shared" si="0"/>
        <v>9196.09</v>
      </c>
      <c r="L15" s="14">
        <f t="shared" si="0"/>
        <v>10090.16</v>
      </c>
      <c r="M15" s="14">
        <f t="shared" si="0"/>
        <v>10090.16</v>
      </c>
      <c r="N15" s="14">
        <f t="shared" si="0"/>
        <v>10090.16</v>
      </c>
      <c r="O15" s="14">
        <f>SUM(C15:N15)</f>
        <v>102000</v>
      </c>
    </row>
    <row r="17" spans="2:15">
      <c r="B17" s="26" t="s">
        <v>320</v>
      </c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</row>
    <row r="18" spans="2:15">
      <c r="B18" s="3" t="s">
        <v>356</v>
      </c>
      <c r="C18" s="5">
        <v>2691.47</v>
      </c>
      <c r="D18" s="5">
        <v>2691.47</v>
      </c>
      <c r="E18" s="5">
        <v>2691.47</v>
      </c>
      <c r="F18" s="5">
        <v>2778.29</v>
      </c>
      <c r="G18" s="5">
        <v>2778.29</v>
      </c>
      <c r="H18" s="5">
        <v>2778.29</v>
      </c>
      <c r="I18" s="5">
        <v>2865.12</v>
      </c>
      <c r="J18" s="5">
        <v>2865.12</v>
      </c>
      <c r="K18" s="5">
        <v>2865.12</v>
      </c>
      <c r="L18" s="5">
        <v>2865.12</v>
      </c>
      <c r="M18" s="5">
        <v>2865.12</v>
      </c>
      <c r="N18" s="5">
        <v>2865.12</v>
      </c>
      <c r="O18" s="5">
        <f t="shared" ref="O18:O23" si="1">SUM(C18:N18)</f>
        <v>33600</v>
      </c>
    </row>
    <row r="19" spans="2:15">
      <c r="B19" s="3" t="s">
        <v>357</v>
      </c>
      <c r="C19" s="5">
        <v>1384.19</v>
      </c>
      <c r="D19" s="5">
        <v>1384.19</v>
      </c>
      <c r="E19" s="5">
        <v>1384.19</v>
      </c>
      <c r="F19" s="5">
        <v>1428.84</v>
      </c>
      <c r="G19" s="5">
        <v>1428.84</v>
      </c>
      <c r="H19" s="5">
        <v>1428.84</v>
      </c>
      <c r="I19" s="5">
        <v>1473.49</v>
      </c>
      <c r="J19" s="5">
        <v>1473.49</v>
      </c>
      <c r="K19" s="5">
        <v>1473.49</v>
      </c>
      <c r="L19" s="5">
        <v>1473.49</v>
      </c>
      <c r="M19" s="5">
        <v>1473.49</v>
      </c>
      <c r="N19" s="5">
        <v>1473.49</v>
      </c>
      <c r="O19" s="5">
        <f t="shared" si="1"/>
        <v>17280.03</v>
      </c>
    </row>
    <row r="20" spans="2:15">
      <c r="B20" s="3" t="s">
        <v>358</v>
      </c>
      <c r="C20" s="5">
        <v>615.19</v>
      </c>
      <c r="D20" s="5">
        <v>615.19</v>
      </c>
      <c r="E20" s="5">
        <v>615.19</v>
      </c>
      <c r="F20" s="5">
        <v>635.04</v>
      </c>
      <c r="G20" s="5">
        <v>635.04</v>
      </c>
      <c r="H20" s="5">
        <v>635.04</v>
      </c>
      <c r="I20" s="5">
        <v>654.88</v>
      </c>
      <c r="J20" s="5">
        <v>654.88</v>
      </c>
      <c r="K20" s="5">
        <v>654.88</v>
      </c>
      <c r="L20" s="5">
        <v>654.88</v>
      </c>
      <c r="M20" s="5">
        <v>654.88</v>
      </c>
      <c r="N20" s="5">
        <v>654.88</v>
      </c>
      <c r="O20" s="5">
        <f t="shared" si="1"/>
        <v>7679.97</v>
      </c>
    </row>
    <row r="21" spans="2:15">
      <c r="B21" s="3" t="s">
        <v>359</v>
      </c>
      <c r="C21" s="5">
        <v>538.29</v>
      </c>
      <c r="D21" s="5">
        <v>538.29</v>
      </c>
      <c r="E21" s="5">
        <v>538.29</v>
      </c>
      <c r="F21" s="5">
        <v>555.66</v>
      </c>
      <c r="G21" s="5">
        <v>555.66</v>
      </c>
      <c r="H21" s="5">
        <v>555.66</v>
      </c>
      <c r="I21" s="5">
        <v>573.02</v>
      </c>
      <c r="J21" s="5">
        <v>573.02</v>
      </c>
      <c r="K21" s="5">
        <v>573.02</v>
      </c>
      <c r="L21" s="5">
        <v>573.02</v>
      </c>
      <c r="M21" s="5">
        <v>573.02</v>
      </c>
      <c r="N21" s="5">
        <v>573.02</v>
      </c>
      <c r="O21" s="5">
        <f t="shared" si="1"/>
        <v>6719.97</v>
      </c>
    </row>
    <row r="22" spans="2:15">
      <c r="B22" s="3" t="s">
        <v>360</v>
      </c>
      <c r="C22" s="5">
        <v>922.79</v>
      </c>
      <c r="D22" s="5">
        <v>922.79</v>
      </c>
      <c r="E22" s="5">
        <v>922.79</v>
      </c>
      <c r="F22" s="5">
        <v>952.56</v>
      </c>
      <c r="G22" s="5">
        <v>952.56</v>
      </c>
      <c r="H22" s="5">
        <v>952.56</v>
      </c>
      <c r="I22" s="5">
        <v>982.33</v>
      </c>
      <c r="J22" s="5">
        <v>982.33</v>
      </c>
      <c r="K22" s="5">
        <v>982.33</v>
      </c>
      <c r="L22" s="5">
        <v>982.33</v>
      </c>
      <c r="M22" s="5">
        <v>982.33</v>
      </c>
      <c r="N22" s="5">
        <v>982.33</v>
      </c>
      <c r="O22" s="5">
        <f t="shared" si="1"/>
        <v>11520.03</v>
      </c>
    </row>
    <row r="23" ht="15" customHeight="1" spans="2:15">
      <c r="B23" s="3" t="s">
        <v>361</v>
      </c>
      <c r="C23" s="5">
        <v>1537.98</v>
      </c>
      <c r="D23" s="5">
        <v>1537.98</v>
      </c>
      <c r="E23" s="5">
        <v>1537.98</v>
      </c>
      <c r="F23" s="5">
        <v>1587.6</v>
      </c>
      <c r="G23" s="5">
        <v>1587.6</v>
      </c>
      <c r="H23" s="5">
        <v>1587.6</v>
      </c>
      <c r="I23" s="5">
        <v>1637.21</v>
      </c>
      <c r="J23" s="5">
        <v>1637.21</v>
      </c>
      <c r="K23" s="5">
        <v>1637.21</v>
      </c>
      <c r="L23" s="5">
        <v>1637.21</v>
      </c>
      <c r="M23" s="5">
        <v>1637.21</v>
      </c>
      <c r="N23" s="5">
        <v>1637.21</v>
      </c>
      <c r="O23" s="5">
        <f t="shared" si="1"/>
        <v>19200</v>
      </c>
    </row>
    <row r="24" ht="15" customHeight="1" spans="2:15">
      <c r="B24" s="13" t="s">
        <v>335</v>
      </c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>
        <f>SUM(C18:N23)</f>
        <v>96000</v>
      </c>
    </row>
    <row r="25" ht="15" customHeight="1"/>
    <row r="26" ht="15" customHeight="1" spans="2:15">
      <c r="B26" s="13" t="s">
        <v>336</v>
      </c>
      <c r="C26" s="14">
        <f t="shared" ref="C26:N26" si="2">C15-C24</f>
        <v>6667.17</v>
      </c>
      <c r="D26" s="14">
        <f t="shared" si="2"/>
        <v>6667.17</v>
      </c>
      <c r="E26" s="14">
        <f t="shared" si="2"/>
        <v>6667.17</v>
      </c>
      <c r="F26" s="14">
        <f t="shared" si="2"/>
        <v>8046.58</v>
      </c>
      <c r="G26" s="14">
        <f t="shared" si="2"/>
        <v>8046.58</v>
      </c>
      <c r="H26" s="14">
        <f t="shared" si="2"/>
        <v>8046.58</v>
      </c>
      <c r="I26" s="14">
        <f t="shared" si="2"/>
        <v>9196.09</v>
      </c>
      <c r="J26" s="14">
        <f t="shared" si="2"/>
        <v>9196.09</v>
      </c>
      <c r="K26" s="14">
        <f t="shared" si="2"/>
        <v>9196.09</v>
      </c>
      <c r="L26" s="14">
        <f t="shared" si="2"/>
        <v>10090.16</v>
      </c>
      <c r="M26" s="14">
        <f t="shared" si="2"/>
        <v>10090.16</v>
      </c>
      <c r="N26" s="14">
        <f t="shared" si="2"/>
        <v>10090.16</v>
      </c>
      <c r="O26" s="14">
        <f>SUM(C26:N26)</f>
        <v>102000</v>
      </c>
    </row>
    <row r="27" spans="2:15">
      <c r="B27" s="3" t="s">
        <v>337</v>
      </c>
      <c r="C27" s="5">
        <f>C26</f>
        <v>6667.17</v>
      </c>
      <c r="D27" s="5">
        <f t="shared" ref="D27:N27" si="3">C27+D26</f>
        <v>13334.34</v>
      </c>
      <c r="E27" s="5">
        <f t="shared" si="3"/>
        <v>20001.51</v>
      </c>
      <c r="F27" s="5">
        <f t="shared" si="3"/>
        <v>28048.09</v>
      </c>
      <c r="G27" s="5">
        <f t="shared" si="3"/>
        <v>36094.67</v>
      </c>
      <c r="H27" s="5">
        <f t="shared" si="3"/>
        <v>44141.25</v>
      </c>
      <c r="I27" s="5">
        <f t="shared" si="3"/>
        <v>53337.34</v>
      </c>
      <c r="J27" s="5">
        <f t="shared" si="3"/>
        <v>62533.43</v>
      </c>
      <c r="K27" s="5">
        <f t="shared" si="3"/>
        <v>71729.52</v>
      </c>
      <c r="L27" s="5">
        <f t="shared" si="3"/>
        <v>81819.68</v>
      </c>
      <c r="M27" s="5">
        <f t="shared" si="3"/>
        <v>91909.84</v>
      </c>
      <c r="N27" s="5">
        <f t="shared" si="3"/>
        <v>102000</v>
      </c>
      <c r="O27" s="5">
        <f>N27</f>
        <v>102000</v>
      </c>
    </row>
    <row r="28" spans="2:14">
      <c r="B28" s="3" t="s">
        <v>338</v>
      </c>
      <c r="C28" s="5">
        <f>C26*$C$6</f>
        <v>1244.093922</v>
      </c>
      <c r="D28" s="5">
        <f>D26*$C$6</f>
        <v>1244.093922</v>
      </c>
      <c r="E28" s="5">
        <f>E26*$C$6</f>
        <v>1244.093922</v>
      </c>
      <c r="F28" s="5">
        <f>F26*$C$6</f>
        <v>1501.491828</v>
      </c>
      <c r="G28" s="5">
        <f>G26*$C$6</f>
        <v>1501.491828</v>
      </c>
      <c r="H28" s="5">
        <f>H26*$C$6</f>
        <v>1501.491828</v>
      </c>
      <c r="I28" s="5">
        <f>I26*$C$6</f>
        <v>1715.990394</v>
      </c>
      <c r="J28" s="5">
        <f>J26*$C$6</f>
        <v>1715.990394</v>
      </c>
      <c r="K28" s="5">
        <f>K26*$C$6</f>
        <v>1715.990394</v>
      </c>
      <c r="L28" s="5">
        <f>L26*$C$6</f>
        <v>1882.823856</v>
      </c>
      <c r="M28" s="5">
        <f>M26*$C$6</f>
        <v>1882.823856</v>
      </c>
      <c r="N28" s="5">
        <f>N26*$C$6</f>
        <v>1882.823856</v>
      </c>
    </row>
    <row r="29" spans="2:14">
      <c r="B29" s="3" t="s">
        <v>339</v>
      </c>
      <c r="C29" s="5">
        <f t="shared" ref="C29:N29" si="4">C26-C28</f>
        <v>5423.076078</v>
      </c>
      <c r="D29" s="5">
        <f t="shared" si="4"/>
        <v>5423.076078</v>
      </c>
      <c r="E29" s="5">
        <f t="shared" si="4"/>
        <v>5423.076078</v>
      </c>
      <c r="F29" s="5">
        <f t="shared" si="4"/>
        <v>6545.088172</v>
      </c>
      <c r="G29" s="5">
        <f t="shared" si="4"/>
        <v>6545.088172</v>
      </c>
      <c r="H29" s="5">
        <f t="shared" si="4"/>
        <v>6545.088172</v>
      </c>
      <c r="I29" s="5">
        <f t="shared" si="4"/>
        <v>7480.099606</v>
      </c>
      <c r="J29" s="5">
        <f t="shared" si="4"/>
        <v>7480.099606</v>
      </c>
      <c r="K29" s="5">
        <f t="shared" si="4"/>
        <v>7480.099606</v>
      </c>
      <c r="L29" s="5">
        <f t="shared" si="4"/>
        <v>8207.336144</v>
      </c>
      <c r="M29" s="5">
        <f t="shared" si="4"/>
        <v>8207.336144</v>
      </c>
      <c r="N29" s="5">
        <f t="shared" si="4"/>
        <v>8207.336144</v>
      </c>
    </row>
  </sheetData>
  <mergeCells count="1">
    <mergeCell ref="C9:N9"/>
  </mergeCells>
  <pageMargins left="0.75" right="0.75" top="1" bottom="1" header="0.511811023622047" footer="0.511811023622047"/>
  <pageSetup paperSize="1" orientation="portrait" horizontalDpi="300" verticalDpi="300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O29"/>
  <sheetViews>
    <sheetView zoomScale="95" zoomScaleNormal="95" workbookViewId="0">
      <pane xSplit="2" ySplit="10" topLeftCell="C11" activePane="bottomRight" state="frozen"/>
      <selection/>
      <selection pane="topRight"/>
      <selection pane="bottomLeft"/>
      <selection pane="bottomRight" activeCell="A1" sqref="A1"/>
    </sheetView>
  </sheetViews>
  <sheetFormatPr defaultColWidth="8.66666666666667" defaultRowHeight="14.25"/>
  <cols>
    <col min="1" max="1" width="1.21666666666667" customWidth="1"/>
    <col min="2" max="2" width="37.2166666666667" customWidth="1"/>
    <col min="3" max="3" width="18.4416666666667" customWidth="1"/>
    <col min="4" max="14" width="11" customWidth="1"/>
    <col min="15" max="15" width="10.1083333333333" customWidth="1"/>
    <col min="16" max="16" width="11.5583333333333" customWidth="1"/>
  </cols>
  <sheetData>
    <row r="2" spans="2:3">
      <c r="B2" s="17" t="s">
        <v>282</v>
      </c>
      <c r="C2" s="17" t="s">
        <v>283</v>
      </c>
    </row>
    <row r="3" spans="2:3">
      <c r="B3" s="18" t="s">
        <v>348</v>
      </c>
      <c r="C3" s="19">
        <f>'Año 2'!N11</f>
        <v>187</v>
      </c>
    </row>
    <row r="4" spans="2:3">
      <c r="B4" s="20" t="s">
        <v>349</v>
      </c>
      <c r="C4" s="21">
        <v>192000</v>
      </c>
    </row>
    <row r="5" spans="2:3">
      <c r="B5" s="18" t="s">
        <v>350</v>
      </c>
      <c r="C5" s="19">
        <v>108000</v>
      </c>
    </row>
    <row r="6" spans="2:3">
      <c r="B6" s="20" t="s">
        <v>297</v>
      </c>
      <c r="C6" s="22">
        <v>0.1866</v>
      </c>
    </row>
    <row r="7" spans="2:3">
      <c r="B7" s="18" t="s">
        <v>298</v>
      </c>
      <c r="C7" s="23">
        <f>1-C6</f>
        <v>0.8134</v>
      </c>
    </row>
    <row r="8" spans="2:3">
      <c r="B8" s="20" t="s">
        <v>351</v>
      </c>
      <c r="C8" s="20" t="s">
        <v>362</v>
      </c>
    </row>
    <row r="9" spans="2:3">
      <c r="B9" s="24" t="s">
        <v>363</v>
      </c>
      <c r="C9" s="25" t="s">
        <v>363</v>
      </c>
    </row>
    <row r="10" spans="3:15">
      <c r="C10" s="6" t="s">
        <v>204</v>
      </c>
      <c r="D10" s="6" t="s">
        <v>206</v>
      </c>
      <c r="E10" s="6" t="s">
        <v>208</v>
      </c>
      <c r="F10" s="6" t="s">
        <v>304</v>
      </c>
      <c r="G10" s="6" t="s">
        <v>305</v>
      </c>
      <c r="H10" s="6" t="s">
        <v>306</v>
      </c>
      <c r="I10" s="6" t="s">
        <v>307</v>
      </c>
      <c r="J10" s="6" t="s">
        <v>308</v>
      </c>
      <c r="K10" s="6" t="s">
        <v>309</v>
      </c>
      <c r="L10" s="6" t="s">
        <v>310</v>
      </c>
      <c r="M10" s="6" t="s">
        <v>311</v>
      </c>
      <c r="N10" s="6" t="s">
        <v>312</v>
      </c>
      <c r="O10" s="6" t="s">
        <v>313</v>
      </c>
    </row>
    <row r="11" spans="2:15">
      <c r="B11" s="3" t="s">
        <v>354</v>
      </c>
      <c r="C11" s="5">
        <v>374</v>
      </c>
      <c r="D11" s="5">
        <v>374</v>
      </c>
      <c r="E11" s="5">
        <v>374</v>
      </c>
      <c r="F11" s="5">
        <v>374</v>
      </c>
      <c r="G11" s="5">
        <v>374</v>
      </c>
      <c r="H11" s="5">
        <v>374</v>
      </c>
      <c r="I11" s="5">
        <v>374</v>
      </c>
      <c r="J11" s="5">
        <v>374</v>
      </c>
      <c r="K11" s="5">
        <v>374</v>
      </c>
      <c r="L11" s="5">
        <v>374</v>
      </c>
      <c r="M11" s="5">
        <v>374</v>
      </c>
      <c r="N11" s="5">
        <v>374</v>
      </c>
      <c r="O11" s="5">
        <f>N11</f>
        <v>374</v>
      </c>
    </row>
    <row r="13" spans="2:15">
      <c r="B13" s="26" t="s">
        <v>316</v>
      </c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</row>
    <row r="14" ht="15" customHeight="1" spans="2:15">
      <c r="B14" s="3" t="s">
        <v>355</v>
      </c>
      <c r="C14" s="5">
        <v>12325.93</v>
      </c>
      <c r="D14" s="5">
        <v>12325.93</v>
      </c>
      <c r="E14" s="5">
        <v>12325.93</v>
      </c>
      <c r="F14" s="5">
        <v>14696.3</v>
      </c>
      <c r="G14" s="5">
        <v>14696.3</v>
      </c>
      <c r="H14" s="5">
        <v>14696.3</v>
      </c>
      <c r="I14" s="5">
        <v>17066.67</v>
      </c>
      <c r="J14" s="5">
        <v>17066.67</v>
      </c>
      <c r="K14" s="5">
        <v>17066.67</v>
      </c>
      <c r="L14" s="5">
        <v>19911.11</v>
      </c>
      <c r="M14" s="5">
        <v>19911.11</v>
      </c>
      <c r="N14" s="5">
        <v>19911.11</v>
      </c>
      <c r="O14" s="5">
        <f>SUM(C14:N14)</f>
        <v>192000.03</v>
      </c>
    </row>
    <row r="15" ht="15" customHeight="1" spans="2:15">
      <c r="B15" s="13" t="s">
        <v>319</v>
      </c>
      <c r="C15" s="14">
        <f t="shared" ref="C15:N15" si="0">C14</f>
        <v>12325.93</v>
      </c>
      <c r="D15" s="14">
        <f t="shared" si="0"/>
        <v>12325.93</v>
      </c>
      <c r="E15" s="14">
        <f t="shared" si="0"/>
        <v>12325.93</v>
      </c>
      <c r="F15" s="14">
        <f t="shared" si="0"/>
        <v>14696.3</v>
      </c>
      <c r="G15" s="14">
        <f t="shared" si="0"/>
        <v>14696.3</v>
      </c>
      <c r="H15" s="14">
        <f t="shared" si="0"/>
        <v>14696.3</v>
      </c>
      <c r="I15" s="14">
        <f t="shared" si="0"/>
        <v>17066.67</v>
      </c>
      <c r="J15" s="14">
        <f t="shared" si="0"/>
        <v>17066.67</v>
      </c>
      <c r="K15" s="14">
        <f t="shared" si="0"/>
        <v>17066.67</v>
      </c>
      <c r="L15" s="14">
        <f t="shared" si="0"/>
        <v>19911.11</v>
      </c>
      <c r="M15" s="14">
        <f t="shared" si="0"/>
        <v>19911.11</v>
      </c>
      <c r="N15" s="14">
        <f t="shared" si="0"/>
        <v>19911.11</v>
      </c>
      <c r="O15" s="14">
        <f>SUM(C15:N15)</f>
        <v>192000.03</v>
      </c>
    </row>
    <row r="17" spans="2:15">
      <c r="B17" s="26" t="s">
        <v>320</v>
      </c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</row>
    <row r="18" spans="2:15">
      <c r="B18" s="3" t="s">
        <v>356</v>
      </c>
      <c r="C18" s="5">
        <v>2625</v>
      </c>
      <c r="D18" s="5">
        <v>2625</v>
      </c>
      <c r="E18" s="5">
        <v>2625</v>
      </c>
      <c r="F18" s="5">
        <v>2975</v>
      </c>
      <c r="G18" s="5">
        <v>2975</v>
      </c>
      <c r="H18" s="5">
        <v>2975</v>
      </c>
      <c r="I18" s="5">
        <v>3325</v>
      </c>
      <c r="J18" s="5">
        <v>3325</v>
      </c>
      <c r="K18" s="5">
        <v>3325</v>
      </c>
      <c r="L18" s="5">
        <v>3675</v>
      </c>
      <c r="M18" s="5">
        <v>3675</v>
      </c>
      <c r="N18" s="5">
        <v>3675</v>
      </c>
      <c r="O18" s="5">
        <f t="shared" ref="O18:O23" si="1">SUM(C18:N18)</f>
        <v>37800</v>
      </c>
    </row>
    <row r="19" spans="2:15">
      <c r="B19" s="3" t="s">
        <v>357</v>
      </c>
      <c r="C19" s="5">
        <v>1350</v>
      </c>
      <c r="D19" s="5">
        <v>1350</v>
      </c>
      <c r="E19" s="5">
        <v>1350</v>
      </c>
      <c r="F19" s="5">
        <v>1530</v>
      </c>
      <c r="G19" s="5">
        <v>1530</v>
      </c>
      <c r="H19" s="5">
        <v>1530</v>
      </c>
      <c r="I19" s="5">
        <v>1710</v>
      </c>
      <c r="J19" s="5">
        <v>1710</v>
      </c>
      <c r="K19" s="5">
        <v>1710</v>
      </c>
      <c r="L19" s="5">
        <v>1890</v>
      </c>
      <c r="M19" s="5">
        <v>1890</v>
      </c>
      <c r="N19" s="5">
        <v>1890</v>
      </c>
      <c r="O19" s="5">
        <f t="shared" si="1"/>
        <v>19440</v>
      </c>
    </row>
    <row r="20" spans="2:15">
      <c r="B20" s="3" t="s">
        <v>358</v>
      </c>
      <c r="C20" s="5">
        <v>600</v>
      </c>
      <c r="D20" s="5">
        <v>600</v>
      </c>
      <c r="E20" s="5">
        <v>600</v>
      </c>
      <c r="F20" s="5">
        <v>680</v>
      </c>
      <c r="G20" s="5">
        <v>680</v>
      </c>
      <c r="H20" s="5">
        <v>680</v>
      </c>
      <c r="I20" s="5">
        <v>760</v>
      </c>
      <c r="J20" s="5">
        <v>760</v>
      </c>
      <c r="K20" s="5">
        <v>760</v>
      </c>
      <c r="L20" s="5">
        <v>840</v>
      </c>
      <c r="M20" s="5">
        <v>840</v>
      </c>
      <c r="N20" s="5">
        <v>840</v>
      </c>
      <c r="O20" s="5">
        <f t="shared" si="1"/>
        <v>8640</v>
      </c>
    </row>
    <row r="21" spans="2:15">
      <c r="B21" s="3" t="s">
        <v>359</v>
      </c>
      <c r="C21" s="5">
        <v>525</v>
      </c>
      <c r="D21" s="5">
        <v>525</v>
      </c>
      <c r="E21" s="5">
        <v>525</v>
      </c>
      <c r="F21" s="5">
        <v>595</v>
      </c>
      <c r="G21" s="5">
        <v>595</v>
      </c>
      <c r="H21" s="5">
        <v>595</v>
      </c>
      <c r="I21" s="5">
        <v>665</v>
      </c>
      <c r="J21" s="5">
        <v>665</v>
      </c>
      <c r="K21" s="5">
        <v>665</v>
      </c>
      <c r="L21" s="5">
        <v>735</v>
      </c>
      <c r="M21" s="5">
        <v>735</v>
      </c>
      <c r="N21" s="5">
        <v>735</v>
      </c>
      <c r="O21" s="5">
        <f t="shared" si="1"/>
        <v>7560</v>
      </c>
    </row>
    <row r="22" spans="2:15">
      <c r="B22" s="3" t="s">
        <v>360</v>
      </c>
      <c r="C22" s="5">
        <v>900</v>
      </c>
      <c r="D22" s="5">
        <v>900</v>
      </c>
      <c r="E22" s="5">
        <v>900</v>
      </c>
      <c r="F22" s="5">
        <v>1020</v>
      </c>
      <c r="G22" s="5">
        <v>1020</v>
      </c>
      <c r="H22" s="5">
        <v>1020</v>
      </c>
      <c r="I22" s="5">
        <v>1140</v>
      </c>
      <c r="J22" s="5">
        <v>1140</v>
      </c>
      <c r="K22" s="5">
        <v>1140</v>
      </c>
      <c r="L22" s="5">
        <v>1260</v>
      </c>
      <c r="M22" s="5">
        <v>1260</v>
      </c>
      <c r="N22" s="5">
        <v>1260</v>
      </c>
      <c r="O22" s="5">
        <f t="shared" si="1"/>
        <v>12960</v>
      </c>
    </row>
    <row r="23" ht="15" customHeight="1" spans="2:15">
      <c r="B23" s="3" t="s">
        <v>361</v>
      </c>
      <c r="C23" s="5">
        <v>1500</v>
      </c>
      <c r="D23" s="5">
        <v>1500</v>
      </c>
      <c r="E23" s="5">
        <v>1500</v>
      </c>
      <c r="F23" s="5">
        <v>1700</v>
      </c>
      <c r="G23" s="5">
        <v>1700</v>
      </c>
      <c r="H23" s="5">
        <v>1700</v>
      </c>
      <c r="I23" s="5">
        <v>1900</v>
      </c>
      <c r="J23" s="5">
        <v>1900</v>
      </c>
      <c r="K23" s="5">
        <v>1900</v>
      </c>
      <c r="L23" s="5">
        <v>2100</v>
      </c>
      <c r="M23" s="5">
        <v>2100</v>
      </c>
      <c r="N23" s="5">
        <v>2100</v>
      </c>
      <c r="O23" s="5">
        <f t="shared" si="1"/>
        <v>21600</v>
      </c>
    </row>
    <row r="24" ht="15" customHeight="1" spans="2:15">
      <c r="B24" s="13" t="s">
        <v>335</v>
      </c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>
        <f>SUM(C18:N23)</f>
        <v>108000</v>
      </c>
    </row>
    <row r="25" ht="15" customHeight="1"/>
    <row r="26" ht="15" customHeight="1" spans="2:15">
      <c r="B26" s="13" t="s">
        <v>336</v>
      </c>
      <c r="C26" s="14">
        <f t="shared" ref="C26:N26" si="2">C15-C24</f>
        <v>12325.93</v>
      </c>
      <c r="D26" s="14">
        <f t="shared" si="2"/>
        <v>12325.93</v>
      </c>
      <c r="E26" s="14">
        <f t="shared" si="2"/>
        <v>12325.93</v>
      </c>
      <c r="F26" s="14">
        <f t="shared" si="2"/>
        <v>14696.3</v>
      </c>
      <c r="G26" s="14">
        <f t="shared" si="2"/>
        <v>14696.3</v>
      </c>
      <c r="H26" s="14">
        <f t="shared" si="2"/>
        <v>14696.3</v>
      </c>
      <c r="I26" s="14">
        <f t="shared" si="2"/>
        <v>17066.67</v>
      </c>
      <c r="J26" s="14">
        <f t="shared" si="2"/>
        <v>17066.67</v>
      </c>
      <c r="K26" s="14">
        <f t="shared" si="2"/>
        <v>17066.67</v>
      </c>
      <c r="L26" s="14">
        <f t="shared" si="2"/>
        <v>19911.11</v>
      </c>
      <c r="M26" s="14">
        <f t="shared" si="2"/>
        <v>19911.11</v>
      </c>
      <c r="N26" s="14">
        <f t="shared" si="2"/>
        <v>19911.11</v>
      </c>
      <c r="O26" s="14">
        <f>SUM(C26:N26)</f>
        <v>192000.03</v>
      </c>
    </row>
    <row r="27" spans="2:15">
      <c r="B27" s="3" t="s">
        <v>337</v>
      </c>
      <c r="C27" s="5">
        <f>C26</f>
        <v>12325.93</v>
      </c>
      <c r="D27" s="5">
        <f t="shared" ref="D27:N27" si="3">C27+D26</f>
        <v>24651.86</v>
      </c>
      <c r="E27" s="5">
        <f t="shared" si="3"/>
        <v>36977.79</v>
      </c>
      <c r="F27" s="5">
        <f t="shared" si="3"/>
        <v>51674.09</v>
      </c>
      <c r="G27" s="5">
        <f t="shared" si="3"/>
        <v>66370.39</v>
      </c>
      <c r="H27" s="5">
        <f t="shared" si="3"/>
        <v>81066.69</v>
      </c>
      <c r="I27" s="5">
        <f t="shared" si="3"/>
        <v>98133.36</v>
      </c>
      <c r="J27" s="5">
        <f t="shared" si="3"/>
        <v>115200.03</v>
      </c>
      <c r="K27" s="5">
        <f t="shared" si="3"/>
        <v>132266.7</v>
      </c>
      <c r="L27" s="5">
        <f t="shared" si="3"/>
        <v>152177.81</v>
      </c>
      <c r="M27" s="5">
        <f t="shared" si="3"/>
        <v>172088.92</v>
      </c>
      <c r="N27" s="5">
        <f t="shared" si="3"/>
        <v>192000.03</v>
      </c>
      <c r="O27" s="5">
        <f>N27</f>
        <v>192000.03</v>
      </c>
    </row>
    <row r="28" spans="2:14">
      <c r="B28" s="3" t="s">
        <v>338</v>
      </c>
      <c r="C28" s="5">
        <f>C26*$C$6</f>
        <v>2300.018538</v>
      </c>
      <c r="D28" s="5">
        <f>D26*$C$6</f>
        <v>2300.018538</v>
      </c>
      <c r="E28" s="5">
        <f>E26*$C$6</f>
        <v>2300.018538</v>
      </c>
      <c r="F28" s="5">
        <f>F26*$C$6</f>
        <v>2742.32958</v>
      </c>
      <c r="G28" s="5">
        <f>G26*$C$6</f>
        <v>2742.32958</v>
      </c>
      <c r="H28" s="5">
        <f>H26*$C$6</f>
        <v>2742.32958</v>
      </c>
      <c r="I28" s="5">
        <f>I26*$C$6</f>
        <v>3184.640622</v>
      </c>
      <c r="J28" s="5">
        <f>J26*$C$6</f>
        <v>3184.640622</v>
      </c>
      <c r="K28" s="5">
        <f>K26*$C$6</f>
        <v>3184.640622</v>
      </c>
      <c r="L28" s="5">
        <f>L26*$C$6</f>
        <v>3715.413126</v>
      </c>
      <c r="M28" s="5">
        <f>M26*$C$6</f>
        <v>3715.413126</v>
      </c>
      <c r="N28" s="5">
        <f>N26*$C$6</f>
        <v>3715.413126</v>
      </c>
    </row>
    <row r="29" spans="2:14">
      <c r="B29" s="3" t="s">
        <v>339</v>
      </c>
      <c r="C29" s="5">
        <f t="shared" ref="C29:N29" si="4">C26-C28</f>
        <v>10025.911462</v>
      </c>
      <c r="D29" s="5">
        <f t="shared" si="4"/>
        <v>10025.911462</v>
      </c>
      <c r="E29" s="5">
        <f t="shared" si="4"/>
        <v>10025.911462</v>
      </c>
      <c r="F29" s="5">
        <f t="shared" si="4"/>
        <v>11953.97042</v>
      </c>
      <c r="G29" s="5">
        <f t="shared" si="4"/>
        <v>11953.97042</v>
      </c>
      <c r="H29" s="5">
        <f t="shared" si="4"/>
        <v>11953.97042</v>
      </c>
      <c r="I29" s="5">
        <f t="shared" si="4"/>
        <v>13882.029378</v>
      </c>
      <c r="J29" s="5">
        <f t="shared" si="4"/>
        <v>13882.029378</v>
      </c>
      <c r="K29" s="5">
        <f t="shared" si="4"/>
        <v>13882.029378</v>
      </c>
      <c r="L29" s="5">
        <f t="shared" si="4"/>
        <v>16195.696874</v>
      </c>
      <c r="M29" s="5">
        <f t="shared" si="4"/>
        <v>16195.696874</v>
      </c>
      <c r="N29" s="5">
        <f t="shared" si="4"/>
        <v>16195.696874</v>
      </c>
    </row>
  </sheetData>
  <mergeCells count="1">
    <mergeCell ref="C9:N9"/>
  </mergeCells>
  <pageMargins left="0.75" right="0.75" top="1" bottom="1" header="0.511811023622047" footer="0.511811023622047"/>
  <pageSetup paperSize="1" orientation="portrait" horizontalDpi="300" verticalDpi="300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O29"/>
  <sheetViews>
    <sheetView zoomScale="95" zoomScaleNormal="95" workbookViewId="0">
      <pane xSplit="2" ySplit="10" topLeftCell="C11" activePane="bottomRight" state="frozen"/>
      <selection/>
      <selection pane="topRight"/>
      <selection pane="bottomLeft"/>
      <selection pane="bottomRight" activeCell="A1" sqref="A1"/>
    </sheetView>
  </sheetViews>
  <sheetFormatPr defaultColWidth="8.66666666666667" defaultRowHeight="14.25"/>
  <cols>
    <col min="1" max="1" width="1.55833333333333" customWidth="1"/>
    <col min="2" max="2" width="41.1083333333333" customWidth="1"/>
    <col min="3" max="3" width="23" customWidth="1"/>
    <col min="4" max="14" width="11" customWidth="1"/>
    <col min="15" max="15" width="9.775" customWidth="1"/>
    <col min="16" max="16" width="11.5583333333333" customWidth="1"/>
  </cols>
  <sheetData>
    <row r="2" spans="2:3">
      <c r="B2" s="17" t="s">
        <v>282</v>
      </c>
      <c r="C2" s="17" t="s">
        <v>283</v>
      </c>
    </row>
    <row r="3" spans="2:3">
      <c r="B3" s="18" t="s">
        <v>348</v>
      </c>
      <c r="C3" s="19">
        <f>'Año 3'!N11</f>
        <v>374</v>
      </c>
    </row>
    <row r="4" spans="2:3">
      <c r="B4" s="20" t="s">
        <v>349</v>
      </c>
      <c r="C4" s="21">
        <v>240000</v>
      </c>
    </row>
    <row r="5" spans="2:3">
      <c r="B5" s="18" t="s">
        <v>350</v>
      </c>
      <c r="C5" s="19">
        <v>130000</v>
      </c>
    </row>
    <row r="6" spans="2:3">
      <c r="B6" s="20" t="s">
        <v>297</v>
      </c>
      <c r="C6" s="22">
        <v>0.1866</v>
      </c>
    </row>
    <row r="7" spans="2:3">
      <c r="B7" s="18" t="s">
        <v>298</v>
      </c>
      <c r="C7" s="23">
        <f>1-C6</f>
        <v>0.8134</v>
      </c>
    </row>
    <row r="8" spans="2:3">
      <c r="B8" s="20" t="s">
        <v>351</v>
      </c>
      <c r="C8" s="20" t="s">
        <v>364</v>
      </c>
    </row>
    <row r="9" spans="2:3">
      <c r="B9" s="24" t="s">
        <v>365</v>
      </c>
      <c r="C9" s="25" t="s">
        <v>365</v>
      </c>
    </row>
    <row r="10" spans="3:15">
      <c r="C10" s="6" t="s">
        <v>204</v>
      </c>
      <c r="D10" s="6" t="s">
        <v>206</v>
      </c>
      <c r="E10" s="6" t="s">
        <v>208</v>
      </c>
      <c r="F10" s="6" t="s">
        <v>304</v>
      </c>
      <c r="G10" s="6" t="s">
        <v>305</v>
      </c>
      <c r="H10" s="6" t="s">
        <v>306</v>
      </c>
      <c r="I10" s="6" t="s">
        <v>307</v>
      </c>
      <c r="J10" s="6" t="s">
        <v>308</v>
      </c>
      <c r="K10" s="6" t="s">
        <v>309</v>
      </c>
      <c r="L10" s="6" t="s">
        <v>310</v>
      </c>
      <c r="M10" s="6" t="s">
        <v>311</v>
      </c>
      <c r="N10" s="6" t="s">
        <v>312</v>
      </c>
      <c r="O10" s="6" t="s">
        <v>313</v>
      </c>
    </row>
    <row r="11" spans="2:15">
      <c r="B11" s="3" t="s">
        <v>354</v>
      </c>
      <c r="C11" s="5">
        <v>442</v>
      </c>
      <c r="D11" s="5">
        <v>442</v>
      </c>
      <c r="E11" s="5">
        <v>442</v>
      </c>
      <c r="F11" s="5">
        <v>442</v>
      </c>
      <c r="G11" s="5">
        <v>442</v>
      </c>
      <c r="H11" s="5">
        <v>442</v>
      </c>
      <c r="I11" s="5">
        <v>442</v>
      </c>
      <c r="J11" s="5">
        <v>442</v>
      </c>
      <c r="K11" s="5">
        <v>442</v>
      </c>
      <c r="L11" s="5">
        <v>442</v>
      </c>
      <c r="M11" s="5">
        <v>442</v>
      </c>
      <c r="N11" s="5">
        <v>442</v>
      </c>
      <c r="O11" s="5">
        <f>N11</f>
        <v>442</v>
      </c>
    </row>
    <row r="13" spans="2:15">
      <c r="B13" s="26" t="s">
        <v>316</v>
      </c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</row>
    <row r="14" ht="15" customHeight="1" spans="2:15">
      <c r="B14" s="3" t="s">
        <v>355</v>
      </c>
      <c r="C14" s="5">
        <v>20000</v>
      </c>
      <c r="D14" s="5">
        <v>20000</v>
      </c>
      <c r="E14" s="5">
        <v>20000</v>
      </c>
      <c r="F14" s="5">
        <v>20000</v>
      </c>
      <c r="G14" s="5">
        <v>20000</v>
      </c>
      <c r="H14" s="5">
        <v>20000</v>
      </c>
      <c r="I14" s="5">
        <v>20000</v>
      </c>
      <c r="J14" s="5">
        <v>20000</v>
      </c>
      <c r="K14" s="5">
        <v>20000</v>
      </c>
      <c r="L14" s="5">
        <v>20000</v>
      </c>
      <c r="M14" s="5">
        <v>20000</v>
      </c>
      <c r="N14" s="5">
        <v>20000</v>
      </c>
      <c r="O14" s="5">
        <f>SUM(C14:N14)</f>
        <v>240000</v>
      </c>
    </row>
    <row r="15" ht="15" customHeight="1" spans="2:15">
      <c r="B15" s="13" t="s">
        <v>319</v>
      </c>
      <c r="C15" s="14">
        <f t="shared" ref="C15:N15" si="0">C14</f>
        <v>20000</v>
      </c>
      <c r="D15" s="14">
        <f t="shared" si="0"/>
        <v>20000</v>
      </c>
      <c r="E15" s="14">
        <f t="shared" si="0"/>
        <v>20000</v>
      </c>
      <c r="F15" s="14">
        <f t="shared" si="0"/>
        <v>20000</v>
      </c>
      <c r="G15" s="14">
        <f t="shared" si="0"/>
        <v>20000</v>
      </c>
      <c r="H15" s="14">
        <f t="shared" si="0"/>
        <v>20000</v>
      </c>
      <c r="I15" s="14">
        <f t="shared" si="0"/>
        <v>20000</v>
      </c>
      <c r="J15" s="14">
        <f t="shared" si="0"/>
        <v>20000</v>
      </c>
      <c r="K15" s="14">
        <f t="shared" si="0"/>
        <v>20000</v>
      </c>
      <c r="L15" s="14">
        <f t="shared" si="0"/>
        <v>20000</v>
      </c>
      <c r="M15" s="14">
        <f t="shared" si="0"/>
        <v>20000</v>
      </c>
      <c r="N15" s="14">
        <f t="shared" si="0"/>
        <v>20000</v>
      </c>
      <c r="O15" s="14">
        <f>SUM(C15:N15)</f>
        <v>240000</v>
      </c>
    </row>
    <row r="17" spans="2:15">
      <c r="B17" s="26" t="s">
        <v>320</v>
      </c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</row>
    <row r="18" spans="2:15">
      <c r="B18" s="3" t="s">
        <v>356</v>
      </c>
      <c r="C18" s="5">
        <v>3791.67</v>
      </c>
      <c r="D18" s="5">
        <v>3791.67</v>
      </c>
      <c r="E18" s="5">
        <v>3791.67</v>
      </c>
      <c r="F18" s="5">
        <v>3791.67</v>
      </c>
      <c r="G18" s="5">
        <v>3791.67</v>
      </c>
      <c r="H18" s="5">
        <v>3791.67</v>
      </c>
      <c r="I18" s="5">
        <v>3791.67</v>
      </c>
      <c r="J18" s="5">
        <v>3791.67</v>
      </c>
      <c r="K18" s="5">
        <v>3791.67</v>
      </c>
      <c r="L18" s="5">
        <v>3791.67</v>
      </c>
      <c r="M18" s="5">
        <v>3791.67</v>
      </c>
      <c r="N18" s="5">
        <v>3791.67</v>
      </c>
      <c r="O18" s="5">
        <f t="shared" ref="O18:O23" si="1">SUM(C18:N18)</f>
        <v>45500.04</v>
      </c>
    </row>
    <row r="19" spans="2:15">
      <c r="B19" s="3" t="s">
        <v>357</v>
      </c>
      <c r="C19" s="5">
        <v>1950</v>
      </c>
      <c r="D19" s="5">
        <v>1950</v>
      </c>
      <c r="E19" s="5">
        <v>1950</v>
      </c>
      <c r="F19" s="5">
        <v>1950</v>
      </c>
      <c r="G19" s="5">
        <v>1950</v>
      </c>
      <c r="H19" s="5">
        <v>1950</v>
      </c>
      <c r="I19" s="5">
        <v>1950</v>
      </c>
      <c r="J19" s="5">
        <v>1950</v>
      </c>
      <c r="K19" s="5">
        <v>1950</v>
      </c>
      <c r="L19" s="5">
        <v>1950</v>
      </c>
      <c r="M19" s="5">
        <v>1950</v>
      </c>
      <c r="N19" s="5">
        <v>1950</v>
      </c>
      <c r="O19" s="5">
        <f t="shared" si="1"/>
        <v>23400</v>
      </c>
    </row>
    <row r="20" spans="2:15">
      <c r="B20" s="3" t="s">
        <v>358</v>
      </c>
      <c r="C20" s="5">
        <v>866.67</v>
      </c>
      <c r="D20" s="5">
        <v>866.67</v>
      </c>
      <c r="E20" s="5">
        <v>866.67</v>
      </c>
      <c r="F20" s="5">
        <v>866.67</v>
      </c>
      <c r="G20" s="5">
        <v>866.67</v>
      </c>
      <c r="H20" s="5">
        <v>866.67</v>
      </c>
      <c r="I20" s="5">
        <v>866.67</v>
      </c>
      <c r="J20" s="5">
        <v>866.67</v>
      </c>
      <c r="K20" s="5">
        <v>866.67</v>
      </c>
      <c r="L20" s="5">
        <v>866.67</v>
      </c>
      <c r="M20" s="5">
        <v>866.67</v>
      </c>
      <c r="N20" s="5">
        <v>866.67</v>
      </c>
      <c r="O20" s="5">
        <f t="shared" si="1"/>
        <v>10400.04</v>
      </c>
    </row>
    <row r="21" spans="2:15">
      <c r="B21" s="3" t="s">
        <v>359</v>
      </c>
      <c r="C21" s="5">
        <v>758.33</v>
      </c>
      <c r="D21" s="5">
        <v>758.33</v>
      </c>
      <c r="E21" s="5">
        <v>758.33</v>
      </c>
      <c r="F21" s="5">
        <v>758.33</v>
      </c>
      <c r="G21" s="5">
        <v>758.33</v>
      </c>
      <c r="H21" s="5">
        <v>758.33</v>
      </c>
      <c r="I21" s="5">
        <v>758.33</v>
      </c>
      <c r="J21" s="5">
        <v>758.33</v>
      </c>
      <c r="K21" s="5">
        <v>758.33</v>
      </c>
      <c r="L21" s="5">
        <v>758.33</v>
      </c>
      <c r="M21" s="5">
        <v>758.33</v>
      </c>
      <c r="N21" s="5">
        <v>758.33</v>
      </c>
      <c r="O21" s="5">
        <f t="shared" si="1"/>
        <v>9099.96</v>
      </c>
    </row>
    <row r="22" spans="2:15">
      <c r="B22" s="3" t="s">
        <v>360</v>
      </c>
      <c r="C22" s="5">
        <v>1300</v>
      </c>
      <c r="D22" s="5">
        <v>1300</v>
      </c>
      <c r="E22" s="5">
        <v>1300</v>
      </c>
      <c r="F22" s="5">
        <v>1300</v>
      </c>
      <c r="G22" s="5">
        <v>1300</v>
      </c>
      <c r="H22" s="5">
        <v>1300</v>
      </c>
      <c r="I22" s="5">
        <v>1300</v>
      </c>
      <c r="J22" s="5">
        <v>1300</v>
      </c>
      <c r="K22" s="5">
        <v>1300</v>
      </c>
      <c r="L22" s="5">
        <v>1300</v>
      </c>
      <c r="M22" s="5">
        <v>1300</v>
      </c>
      <c r="N22" s="5">
        <v>1300</v>
      </c>
      <c r="O22" s="5">
        <f t="shared" si="1"/>
        <v>15600</v>
      </c>
    </row>
    <row r="23" ht="15" customHeight="1" spans="2:15">
      <c r="B23" s="3" t="s">
        <v>361</v>
      </c>
      <c r="C23" s="5">
        <v>2166.67</v>
      </c>
      <c r="D23" s="5">
        <v>2166.67</v>
      </c>
      <c r="E23" s="5">
        <v>2166.67</v>
      </c>
      <c r="F23" s="5">
        <v>2166.67</v>
      </c>
      <c r="G23" s="5">
        <v>2166.67</v>
      </c>
      <c r="H23" s="5">
        <v>2166.67</v>
      </c>
      <c r="I23" s="5">
        <v>2166.67</v>
      </c>
      <c r="J23" s="5">
        <v>2166.67</v>
      </c>
      <c r="K23" s="5">
        <v>2166.67</v>
      </c>
      <c r="L23" s="5">
        <v>2166.67</v>
      </c>
      <c r="M23" s="5">
        <v>2166.67</v>
      </c>
      <c r="N23" s="5">
        <v>2166.67</v>
      </c>
      <c r="O23" s="5">
        <f t="shared" si="1"/>
        <v>26000.04</v>
      </c>
    </row>
    <row r="24" ht="15" customHeight="1" spans="2:15">
      <c r="B24" s="13" t="s">
        <v>335</v>
      </c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>
        <f>SUM(C18:N23)</f>
        <v>130000.08</v>
      </c>
    </row>
    <row r="25" ht="15" customHeight="1"/>
    <row r="26" ht="15" customHeight="1" spans="2:15">
      <c r="B26" s="13" t="s">
        <v>336</v>
      </c>
      <c r="C26" s="14">
        <f t="shared" ref="C26:N26" si="2">C15-C24</f>
        <v>20000</v>
      </c>
      <c r="D26" s="14">
        <f t="shared" si="2"/>
        <v>20000</v>
      </c>
      <c r="E26" s="14">
        <f t="shared" si="2"/>
        <v>20000</v>
      </c>
      <c r="F26" s="14">
        <f t="shared" si="2"/>
        <v>20000</v>
      </c>
      <c r="G26" s="14">
        <f t="shared" si="2"/>
        <v>20000</v>
      </c>
      <c r="H26" s="14">
        <f t="shared" si="2"/>
        <v>20000</v>
      </c>
      <c r="I26" s="14">
        <f t="shared" si="2"/>
        <v>20000</v>
      </c>
      <c r="J26" s="14">
        <f t="shared" si="2"/>
        <v>20000</v>
      </c>
      <c r="K26" s="14">
        <f t="shared" si="2"/>
        <v>20000</v>
      </c>
      <c r="L26" s="14">
        <f t="shared" si="2"/>
        <v>20000</v>
      </c>
      <c r="M26" s="14">
        <f t="shared" si="2"/>
        <v>20000</v>
      </c>
      <c r="N26" s="14">
        <f t="shared" si="2"/>
        <v>20000</v>
      </c>
      <c r="O26" s="14">
        <f>SUM(C26:N26)</f>
        <v>240000</v>
      </c>
    </row>
    <row r="27" spans="2:15">
      <c r="B27" s="3" t="s">
        <v>337</v>
      </c>
      <c r="C27" s="5">
        <f>C26</f>
        <v>20000</v>
      </c>
      <c r="D27" s="5">
        <f t="shared" ref="D27:N27" si="3">C27+D26</f>
        <v>40000</v>
      </c>
      <c r="E27" s="5">
        <f t="shared" si="3"/>
        <v>60000</v>
      </c>
      <c r="F27" s="5">
        <f t="shared" si="3"/>
        <v>80000</v>
      </c>
      <c r="G27" s="5">
        <f t="shared" si="3"/>
        <v>100000</v>
      </c>
      <c r="H27" s="5">
        <f t="shared" si="3"/>
        <v>120000</v>
      </c>
      <c r="I27" s="5">
        <f t="shared" si="3"/>
        <v>140000</v>
      </c>
      <c r="J27" s="5">
        <f t="shared" si="3"/>
        <v>160000</v>
      </c>
      <c r="K27" s="5">
        <f t="shared" si="3"/>
        <v>180000</v>
      </c>
      <c r="L27" s="5">
        <f t="shared" si="3"/>
        <v>200000</v>
      </c>
      <c r="M27" s="5">
        <f t="shared" si="3"/>
        <v>220000</v>
      </c>
      <c r="N27" s="5">
        <f t="shared" si="3"/>
        <v>240000</v>
      </c>
      <c r="O27" s="5">
        <f>N27</f>
        <v>240000</v>
      </c>
    </row>
    <row r="28" spans="2:14">
      <c r="B28" s="3" t="s">
        <v>338</v>
      </c>
      <c r="C28" s="5">
        <f>C26*$C$6</f>
        <v>3732</v>
      </c>
      <c r="D28" s="5">
        <f>D26*$C$6</f>
        <v>3732</v>
      </c>
      <c r="E28" s="5">
        <f>E26*$C$6</f>
        <v>3732</v>
      </c>
      <c r="F28" s="5">
        <f>F26*$C$6</f>
        <v>3732</v>
      </c>
      <c r="G28" s="5">
        <f>G26*$C$6</f>
        <v>3732</v>
      </c>
      <c r="H28" s="5">
        <f>H26*$C$6</f>
        <v>3732</v>
      </c>
      <c r="I28" s="5">
        <f>I26*$C$6</f>
        <v>3732</v>
      </c>
      <c r="J28" s="5">
        <f>J26*$C$6</f>
        <v>3732</v>
      </c>
      <c r="K28" s="5">
        <f>K26*$C$6</f>
        <v>3732</v>
      </c>
      <c r="L28" s="5">
        <f>L26*$C$6</f>
        <v>3732</v>
      </c>
      <c r="M28" s="5">
        <f>M26*$C$6</f>
        <v>3732</v>
      </c>
      <c r="N28" s="5">
        <f>N26*$C$6</f>
        <v>3732</v>
      </c>
    </row>
    <row r="29" spans="2:14">
      <c r="B29" s="3" t="s">
        <v>339</v>
      </c>
      <c r="C29" s="5">
        <f t="shared" ref="C29:N29" si="4">C26-C28</f>
        <v>16268</v>
      </c>
      <c r="D29" s="5">
        <f t="shared" si="4"/>
        <v>16268</v>
      </c>
      <c r="E29" s="5">
        <f t="shared" si="4"/>
        <v>16268</v>
      </c>
      <c r="F29" s="5">
        <f t="shared" si="4"/>
        <v>16268</v>
      </c>
      <c r="G29" s="5">
        <f t="shared" si="4"/>
        <v>16268</v>
      </c>
      <c r="H29" s="5">
        <f t="shared" si="4"/>
        <v>16268</v>
      </c>
      <c r="I29" s="5">
        <f t="shared" si="4"/>
        <v>16268</v>
      </c>
      <c r="J29" s="5">
        <f t="shared" si="4"/>
        <v>16268</v>
      </c>
      <c r="K29" s="5">
        <f t="shared" si="4"/>
        <v>16268</v>
      </c>
      <c r="L29" s="5">
        <f t="shared" si="4"/>
        <v>16268</v>
      </c>
      <c r="M29" s="5">
        <f t="shared" si="4"/>
        <v>16268</v>
      </c>
      <c r="N29" s="5">
        <f t="shared" si="4"/>
        <v>16268</v>
      </c>
    </row>
  </sheetData>
  <mergeCells count="1">
    <mergeCell ref="C9:N9"/>
  </mergeCells>
  <pageMargins left="0.75" right="0.75" top="1" bottom="1" header="0.511811023622047" footer="0.511811023622047"/>
  <pageSetup paperSize="1" orientation="portrait" horizontalDpi="300" verticalDpi="300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O29"/>
  <sheetViews>
    <sheetView zoomScale="95" zoomScaleNormal="95" workbookViewId="0">
      <pane xSplit="2" ySplit="10" topLeftCell="C11" activePane="bottomRight" state="frozen"/>
      <selection/>
      <selection pane="topRight"/>
      <selection pane="bottomLeft"/>
      <selection pane="bottomRight" activeCell="A1" sqref="A1"/>
    </sheetView>
  </sheetViews>
  <sheetFormatPr defaultColWidth="8.66666666666667" defaultRowHeight="14.25"/>
  <cols>
    <col min="1" max="1" width="1" customWidth="1"/>
    <col min="2" max="2" width="42.8833333333333" customWidth="1"/>
    <col min="3" max="3" width="18.8833333333333" customWidth="1"/>
    <col min="4" max="14" width="11" customWidth="1"/>
    <col min="15" max="15" width="11.5583333333333" customWidth="1"/>
  </cols>
  <sheetData>
    <row r="2" spans="2:3">
      <c r="B2" s="17" t="s">
        <v>282</v>
      </c>
      <c r="C2" s="17" t="s">
        <v>283</v>
      </c>
    </row>
    <row r="3" spans="2:3">
      <c r="B3" s="18" t="s">
        <v>348</v>
      </c>
      <c r="C3" s="19">
        <f>'Año 4'!N11</f>
        <v>442</v>
      </c>
    </row>
    <row r="4" spans="2:3">
      <c r="B4" s="20" t="s">
        <v>349</v>
      </c>
      <c r="C4" s="21">
        <v>300000</v>
      </c>
    </row>
    <row r="5" spans="2:3">
      <c r="B5" s="18" t="s">
        <v>350</v>
      </c>
      <c r="C5" s="19">
        <v>150000</v>
      </c>
    </row>
    <row r="6" spans="2:3">
      <c r="B6" s="20" t="s">
        <v>297</v>
      </c>
      <c r="C6" s="22">
        <v>0.1866</v>
      </c>
    </row>
    <row r="7" spans="2:3">
      <c r="B7" s="18" t="s">
        <v>298</v>
      </c>
      <c r="C7" s="23">
        <f>1-C6</f>
        <v>0.8134</v>
      </c>
    </row>
    <row r="8" spans="2:3">
      <c r="B8" s="20" t="s">
        <v>351</v>
      </c>
      <c r="C8" s="20" t="s">
        <v>364</v>
      </c>
    </row>
    <row r="9" spans="2:3">
      <c r="B9" s="24" t="s">
        <v>366</v>
      </c>
      <c r="C9" s="25" t="s">
        <v>366</v>
      </c>
    </row>
    <row r="10" spans="3:15">
      <c r="C10" s="6" t="s">
        <v>204</v>
      </c>
      <c r="D10" s="6" t="s">
        <v>206</v>
      </c>
      <c r="E10" s="6" t="s">
        <v>208</v>
      </c>
      <c r="F10" s="6" t="s">
        <v>304</v>
      </c>
      <c r="G10" s="6" t="s">
        <v>305</v>
      </c>
      <c r="H10" s="6" t="s">
        <v>306</v>
      </c>
      <c r="I10" s="6" t="s">
        <v>307</v>
      </c>
      <c r="J10" s="6" t="s">
        <v>308</v>
      </c>
      <c r="K10" s="6" t="s">
        <v>309</v>
      </c>
      <c r="L10" s="6" t="s">
        <v>310</v>
      </c>
      <c r="M10" s="6" t="s">
        <v>311</v>
      </c>
      <c r="N10" s="6" t="s">
        <v>312</v>
      </c>
      <c r="O10" s="6" t="s">
        <v>313</v>
      </c>
    </row>
    <row r="11" spans="2:15">
      <c r="B11" s="3" t="s">
        <v>354</v>
      </c>
      <c r="C11" s="5">
        <v>510</v>
      </c>
      <c r="D11" s="5">
        <v>510</v>
      </c>
      <c r="E11" s="5">
        <v>510</v>
      </c>
      <c r="F11" s="5">
        <v>510</v>
      </c>
      <c r="G11" s="5">
        <v>510</v>
      </c>
      <c r="H11" s="5">
        <v>510</v>
      </c>
      <c r="I11" s="5">
        <v>510</v>
      </c>
      <c r="J11" s="5">
        <v>510</v>
      </c>
      <c r="K11" s="5">
        <v>510</v>
      </c>
      <c r="L11" s="5">
        <v>510</v>
      </c>
      <c r="M11" s="5">
        <v>510</v>
      </c>
      <c r="N11" s="5">
        <v>510</v>
      </c>
      <c r="O11" s="5">
        <f>N11</f>
        <v>510</v>
      </c>
    </row>
    <row r="13" spans="2:15">
      <c r="B13" s="26" t="s">
        <v>316</v>
      </c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</row>
    <row r="14" ht="15" customHeight="1" spans="2:15">
      <c r="B14" s="3" t="s">
        <v>355</v>
      </c>
      <c r="C14" s="5">
        <v>25000</v>
      </c>
      <c r="D14" s="5">
        <v>25000</v>
      </c>
      <c r="E14" s="5">
        <v>25000</v>
      </c>
      <c r="F14" s="5">
        <v>25000</v>
      </c>
      <c r="G14" s="5">
        <v>25000</v>
      </c>
      <c r="H14" s="5">
        <v>25000</v>
      </c>
      <c r="I14" s="5">
        <v>25000</v>
      </c>
      <c r="J14" s="5">
        <v>25000</v>
      </c>
      <c r="K14" s="5">
        <v>25000</v>
      </c>
      <c r="L14" s="5">
        <v>25000</v>
      </c>
      <c r="M14" s="5">
        <v>25000</v>
      </c>
      <c r="N14" s="5">
        <v>25000</v>
      </c>
      <c r="O14" s="5">
        <f>SUM(C14:N14)</f>
        <v>300000</v>
      </c>
    </row>
    <row r="15" ht="15" customHeight="1" spans="2:15">
      <c r="B15" s="13" t="s">
        <v>319</v>
      </c>
      <c r="C15" s="14">
        <f t="shared" ref="C15:N15" si="0">C14</f>
        <v>25000</v>
      </c>
      <c r="D15" s="14">
        <f t="shared" si="0"/>
        <v>25000</v>
      </c>
      <c r="E15" s="14">
        <f t="shared" si="0"/>
        <v>25000</v>
      </c>
      <c r="F15" s="14">
        <f t="shared" si="0"/>
        <v>25000</v>
      </c>
      <c r="G15" s="14">
        <f t="shared" si="0"/>
        <v>25000</v>
      </c>
      <c r="H15" s="14">
        <f t="shared" si="0"/>
        <v>25000</v>
      </c>
      <c r="I15" s="14">
        <f t="shared" si="0"/>
        <v>25000</v>
      </c>
      <c r="J15" s="14">
        <f t="shared" si="0"/>
        <v>25000</v>
      </c>
      <c r="K15" s="14">
        <f t="shared" si="0"/>
        <v>25000</v>
      </c>
      <c r="L15" s="14">
        <f t="shared" si="0"/>
        <v>25000</v>
      </c>
      <c r="M15" s="14">
        <f t="shared" si="0"/>
        <v>25000</v>
      </c>
      <c r="N15" s="14">
        <f t="shared" si="0"/>
        <v>25000</v>
      </c>
      <c r="O15" s="14">
        <f>SUM(C15:N15)</f>
        <v>300000</v>
      </c>
    </row>
    <row r="17" spans="2:15">
      <c r="B17" s="26" t="s">
        <v>320</v>
      </c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</row>
    <row r="18" spans="2:15">
      <c r="B18" s="3" t="s">
        <v>356</v>
      </c>
      <c r="C18" s="5">
        <v>4375</v>
      </c>
      <c r="D18" s="5">
        <v>4375</v>
      </c>
      <c r="E18" s="5">
        <v>4375</v>
      </c>
      <c r="F18" s="5">
        <v>4375</v>
      </c>
      <c r="G18" s="5">
        <v>4375</v>
      </c>
      <c r="H18" s="5">
        <v>4375</v>
      </c>
      <c r="I18" s="5">
        <v>4375</v>
      </c>
      <c r="J18" s="5">
        <v>4375</v>
      </c>
      <c r="K18" s="5">
        <v>4375</v>
      </c>
      <c r="L18" s="5">
        <v>4375</v>
      </c>
      <c r="M18" s="5">
        <v>4375</v>
      </c>
      <c r="N18" s="5">
        <v>4375</v>
      </c>
      <c r="O18" s="5">
        <f t="shared" ref="O18:O23" si="1">SUM(C18:N18)</f>
        <v>52500</v>
      </c>
    </row>
    <row r="19" spans="2:15">
      <c r="B19" s="3" t="s">
        <v>357</v>
      </c>
      <c r="C19" s="5">
        <v>2250</v>
      </c>
      <c r="D19" s="5">
        <v>2250</v>
      </c>
      <c r="E19" s="5">
        <v>2250</v>
      </c>
      <c r="F19" s="5">
        <v>2250</v>
      </c>
      <c r="G19" s="5">
        <v>2250</v>
      </c>
      <c r="H19" s="5">
        <v>2250</v>
      </c>
      <c r="I19" s="5">
        <v>2250</v>
      </c>
      <c r="J19" s="5">
        <v>2250</v>
      </c>
      <c r="K19" s="5">
        <v>2250</v>
      </c>
      <c r="L19" s="5">
        <v>2250</v>
      </c>
      <c r="M19" s="5">
        <v>2250</v>
      </c>
      <c r="N19" s="5">
        <v>2250</v>
      </c>
      <c r="O19" s="5">
        <f t="shared" si="1"/>
        <v>27000</v>
      </c>
    </row>
    <row r="20" spans="2:15">
      <c r="B20" s="3" t="s">
        <v>358</v>
      </c>
      <c r="C20" s="5">
        <v>1000</v>
      </c>
      <c r="D20" s="5">
        <v>1000</v>
      </c>
      <c r="E20" s="5">
        <v>1000</v>
      </c>
      <c r="F20" s="5">
        <v>1000</v>
      </c>
      <c r="G20" s="5">
        <v>1000</v>
      </c>
      <c r="H20" s="5">
        <v>1000</v>
      </c>
      <c r="I20" s="5">
        <v>1000</v>
      </c>
      <c r="J20" s="5">
        <v>1000</v>
      </c>
      <c r="K20" s="5">
        <v>1000</v>
      </c>
      <c r="L20" s="5">
        <v>1000</v>
      </c>
      <c r="M20" s="5">
        <v>1000</v>
      </c>
      <c r="N20" s="5">
        <v>1000</v>
      </c>
      <c r="O20" s="5">
        <f t="shared" si="1"/>
        <v>12000</v>
      </c>
    </row>
    <row r="21" spans="2:15">
      <c r="B21" s="3" t="s">
        <v>359</v>
      </c>
      <c r="C21" s="5">
        <v>875</v>
      </c>
      <c r="D21" s="5">
        <v>875</v>
      </c>
      <c r="E21" s="5">
        <v>875</v>
      </c>
      <c r="F21" s="5">
        <v>875</v>
      </c>
      <c r="G21" s="5">
        <v>875</v>
      </c>
      <c r="H21" s="5">
        <v>875</v>
      </c>
      <c r="I21" s="5">
        <v>875</v>
      </c>
      <c r="J21" s="5">
        <v>875</v>
      </c>
      <c r="K21" s="5">
        <v>875</v>
      </c>
      <c r="L21" s="5">
        <v>875</v>
      </c>
      <c r="M21" s="5">
        <v>875</v>
      </c>
      <c r="N21" s="5">
        <v>875</v>
      </c>
      <c r="O21" s="5">
        <f t="shared" si="1"/>
        <v>10500</v>
      </c>
    </row>
    <row r="22" spans="2:15">
      <c r="B22" s="3" t="s">
        <v>360</v>
      </c>
      <c r="C22" s="5">
        <v>1500</v>
      </c>
      <c r="D22" s="5">
        <v>1500</v>
      </c>
      <c r="E22" s="5">
        <v>1500</v>
      </c>
      <c r="F22" s="5">
        <v>1500</v>
      </c>
      <c r="G22" s="5">
        <v>1500</v>
      </c>
      <c r="H22" s="5">
        <v>1500</v>
      </c>
      <c r="I22" s="5">
        <v>1500</v>
      </c>
      <c r="J22" s="5">
        <v>1500</v>
      </c>
      <c r="K22" s="5">
        <v>1500</v>
      </c>
      <c r="L22" s="5">
        <v>1500</v>
      </c>
      <c r="M22" s="5">
        <v>1500</v>
      </c>
      <c r="N22" s="5">
        <v>1500</v>
      </c>
      <c r="O22" s="5">
        <f t="shared" si="1"/>
        <v>18000</v>
      </c>
    </row>
    <row r="23" ht="15" customHeight="1" spans="2:15">
      <c r="B23" s="3" t="s">
        <v>361</v>
      </c>
      <c r="C23" s="5">
        <v>2500</v>
      </c>
      <c r="D23" s="5">
        <v>2500</v>
      </c>
      <c r="E23" s="5">
        <v>2500</v>
      </c>
      <c r="F23" s="5">
        <v>2500</v>
      </c>
      <c r="G23" s="5">
        <v>2500</v>
      </c>
      <c r="H23" s="5">
        <v>2500</v>
      </c>
      <c r="I23" s="5">
        <v>2500</v>
      </c>
      <c r="J23" s="5">
        <v>2500</v>
      </c>
      <c r="K23" s="5">
        <v>2500</v>
      </c>
      <c r="L23" s="5">
        <v>2500</v>
      </c>
      <c r="M23" s="5">
        <v>2500</v>
      </c>
      <c r="N23" s="5">
        <v>2500</v>
      </c>
      <c r="O23" s="5">
        <f t="shared" si="1"/>
        <v>30000</v>
      </c>
    </row>
    <row r="24" ht="15" customHeight="1" spans="2:15">
      <c r="B24" s="13" t="s">
        <v>335</v>
      </c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>
        <f>SUM(C18:N23)</f>
        <v>150000</v>
      </c>
    </row>
    <row r="25" ht="15" customHeight="1"/>
    <row r="26" ht="15" customHeight="1" spans="2:15">
      <c r="B26" s="13" t="s">
        <v>336</v>
      </c>
      <c r="C26" s="14">
        <f t="shared" ref="C26:N26" si="2">C15-C24</f>
        <v>25000</v>
      </c>
      <c r="D26" s="14">
        <f t="shared" si="2"/>
        <v>25000</v>
      </c>
      <c r="E26" s="14">
        <f t="shared" si="2"/>
        <v>25000</v>
      </c>
      <c r="F26" s="14">
        <f t="shared" si="2"/>
        <v>25000</v>
      </c>
      <c r="G26" s="14">
        <f t="shared" si="2"/>
        <v>25000</v>
      </c>
      <c r="H26" s="14">
        <f t="shared" si="2"/>
        <v>25000</v>
      </c>
      <c r="I26" s="14">
        <f t="shared" si="2"/>
        <v>25000</v>
      </c>
      <c r="J26" s="14">
        <f t="shared" si="2"/>
        <v>25000</v>
      </c>
      <c r="K26" s="14">
        <f t="shared" si="2"/>
        <v>25000</v>
      </c>
      <c r="L26" s="14">
        <f t="shared" si="2"/>
        <v>25000</v>
      </c>
      <c r="M26" s="14">
        <f t="shared" si="2"/>
        <v>25000</v>
      </c>
      <c r="N26" s="14">
        <f t="shared" si="2"/>
        <v>25000</v>
      </c>
      <c r="O26" s="14">
        <f>SUM(C26:N26)</f>
        <v>300000</v>
      </c>
    </row>
    <row r="27" spans="2:15">
      <c r="B27" s="3" t="s">
        <v>337</v>
      </c>
      <c r="C27" s="5">
        <f>C26</f>
        <v>25000</v>
      </c>
      <c r="D27" s="5">
        <f t="shared" ref="D27:N27" si="3">C27+D26</f>
        <v>50000</v>
      </c>
      <c r="E27" s="5">
        <f t="shared" si="3"/>
        <v>75000</v>
      </c>
      <c r="F27" s="5">
        <f t="shared" si="3"/>
        <v>100000</v>
      </c>
      <c r="G27" s="5">
        <f t="shared" si="3"/>
        <v>125000</v>
      </c>
      <c r="H27" s="5">
        <f t="shared" si="3"/>
        <v>150000</v>
      </c>
      <c r="I27" s="5">
        <f t="shared" si="3"/>
        <v>175000</v>
      </c>
      <c r="J27" s="5">
        <f t="shared" si="3"/>
        <v>200000</v>
      </c>
      <c r="K27" s="5">
        <f t="shared" si="3"/>
        <v>225000</v>
      </c>
      <c r="L27" s="5">
        <f t="shared" si="3"/>
        <v>250000</v>
      </c>
      <c r="M27" s="5">
        <f t="shared" si="3"/>
        <v>275000</v>
      </c>
      <c r="N27" s="5">
        <f t="shared" si="3"/>
        <v>300000</v>
      </c>
      <c r="O27" s="5">
        <f>N27</f>
        <v>300000</v>
      </c>
    </row>
    <row r="28" spans="2:14">
      <c r="B28" s="3" t="s">
        <v>338</v>
      </c>
      <c r="C28" s="5">
        <f>C26*$C$6</f>
        <v>4665</v>
      </c>
      <c r="D28" s="5">
        <f>D26*$C$6</f>
        <v>4665</v>
      </c>
      <c r="E28" s="5">
        <f>E26*$C$6</f>
        <v>4665</v>
      </c>
      <c r="F28" s="5">
        <f>F26*$C$6</f>
        <v>4665</v>
      </c>
      <c r="G28" s="5">
        <f>G26*$C$6</f>
        <v>4665</v>
      </c>
      <c r="H28" s="5">
        <f>H26*$C$6</f>
        <v>4665</v>
      </c>
      <c r="I28" s="5">
        <f>I26*$C$6</f>
        <v>4665</v>
      </c>
      <c r="J28" s="5">
        <f>J26*$C$6</f>
        <v>4665</v>
      </c>
      <c r="K28" s="5">
        <f>K26*$C$6</f>
        <v>4665</v>
      </c>
      <c r="L28" s="5">
        <f>L26*$C$6</f>
        <v>4665</v>
      </c>
      <c r="M28" s="5">
        <f>M26*$C$6</f>
        <v>4665</v>
      </c>
      <c r="N28" s="5">
        <f>N26*$C$6</f>
        <v>4665</v>
      </c>
    </row>
    <row r="29" spans="2:14">
      <c r="B29" s="3" t="s">
        <v>339</v>
      </c>
      <c r="C29" s="5">
        <f t="shared" ref="C29:N29" si="4">C26-C28</f>
        <v>20335</v>
      </c>
      <c r="D29" s="5">
        <f t="shared" si="4"/>
        <v>20335</v>
      </c>
      <c r="E29" s="5">
        <f t="shared" si="4"/>
        <v>20335</v>
      </c>
      <c r="F29" s="5">
        <f t="shared" si="4"/>
        <v>20335</v>
      </c>
      <c r="G29" s="5">
        <f t="shared" si="4"/>
        <v>20335</v>
      </c>
      <c r="H29" s="5">
        <f t="shared" si="4"/>
        <v>20335</v>
      </c>
      <c r="I29" s="5">
        <f t="shared" si="4"/>
        <v>20335</v>
      </c>
      <c r="J29" s="5">
        <f t="shared" si="4"/>
        <v>20335</v>
      </c>
      <c r="K29" s="5">
        <f t="shared" si="4"/>
        <v>20335</v>
      </c>
      <c r="L29" s="5">
        <f t="shared" si="4"/>
        <v>20335</v>
      </c>
      <c r="M29" s="5">
        <f t="shared" si="4"/>
        <v>20335</v>
      </c>
      <c r="N29" s="5">
        <f t="shared" si="4"/>
        <v>20335</v>
      </c>
    </row>
  </sheetData>
  <mergeCells count="1">
    <mergeCell ref="C9:N9"/>
  </mergeCells>
  <pageMargins left="0.75" right="0.75" top="1" bottom="1" header="0.511811023622047" footer="0.511811023622047"/>
  <pageSetup paperSize="1" orientation="portrait" horizontalDpi="300" verticalDpi="300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45"/>
  <sheetViews>
    <sheetView zoomScale="95" zoomScaleNormal="95" topLeftCell="A25" workbookViewId="0">
      <selection activeCell="A1" sqref="A1"/>
    </sheetView>
  </sheetViews>
  <sheetFormatPr defaultColWidth="8.66666666666667" defaultRowHeight="14.25"/>
  <cols>
    <col min="1" max="1" width="2.21666666666667" customWidth="1"/>
    <col min="2" max="2" width="46" customWidth="1"/>
    <col min="3" max="3" width="42.8833333333333" customWidth="1"/>
    <col min="4" max="7" width="13" customWidth="1"/>
    <col min="8" max="8" width="12.1083333333333" customWidth="1"/>
    <col min="9" max="9" width="11.5583333333333" customWidth="1"/>
    <col min="10" max="10" width="25.6666666666667" customWidth="1"/>
  </cols>
  <sheetData>
    <row r="2" ht="29.1" customHeight="1" spans="2:2">
      <c r="B2" s="1" t="s">
        <v>367</v>
      </c>
    </row>
    <row r="4" spans="2:3">
      <c r="B4" s="6" t="s">
        <v>282</v>
      </c>
      <c r="C4" s="6" t="s">
        <v>283</v>
      </c>
    </row>
    <row r="5" spans="2:3">
      <c r="B5" s="7" t="s">
        <v>285</v>
      </c>
      <c r="C5" s="8">
        <v>50</v>
      </c>
    </row>
    <row r="6" spans="2:3">
      <c r="B6" s="9" t="s">
        <v>297</v>
      </c>
      <c r="C6" s="10">
        <v>0.1866</v>
      </c>
    </row>
    <row r="7" spans="2:3">
      <c r="B7" s="7" t="s">
        <v>298</v>
      </c>
      <c r="C7" s="11">
        <f>1-C6</f>
        <v>0.8134</v>
      </c>
    </row>
    <row r="8" spans="2:3">
      <c r="B8" s="9" t="s">
        <v>368</v>
      </c>
      <c r="C8" s="10">
        <v>0.25</v>
      </c>
    </row>
    <row r="9" spans="2:3">
      <c r="B9" s="7" t="s">
        <v>369</v>
      </c>
      <c r="C9" s="8">
        <v>-111988</v>
      </c>
    </row>
    <row r="10" spans="2:3">
      <c r="B10" s="9" t="s">
        <v>370</v>
      </c>
      <c r="C10" s="12">
        <v>600000</v>
      </c>
    </row>
    <row r="11" spans="2:3">
      <c r="B11" s="7" t="s">
        <v>371</v>
      </c>
      <c r="C11" s="7" t="s">
        <v>372</v>
      </c>
    </row>
    <row r="16" spans="2:9">
      <c r="B16" s="6" t="s">
        <v>193</v>
      </c>
      <c r="C16" s="6"/>
      <c r="D16" s="2" t="s">
        <v>373</v>
      </c>
      <c r="E16" s="2" t="s">
        <v>374</v>
      </c>
      <c r="F16" s="2" t="s">
        <v>375</v>
      </c>
      <c r="G16" s="2" t="s">
        <v>376</v>
      </c>
      <c r="H16" s="2" t="s">
        <v>377</v>
      </c>
      <c r="I16" s="16" t="s">
        <v>313</v>
      </c>
    </row>
    <row r="17" spans="2:8">
      <c r="B17" s="3" t="s">
        <v>378</v>
      </c>
      <c r="D17" s="5">
        <f>'Año 1 escenario 1'!N19</f>
        <v>159</v>
      </c>
      <c r="E17" s="5">
        <f>'Año 2'!N11</f>
        <v>187</v>
      </c>
      <c r="F17" s="5">
        <f>'Año 3'!N11</f>
        <v>374</v>
      </c>
      <c r="G17" s="5">
        <f>'Año 4'!N11</f>
        <v>442</v>
      </c>
      <c r="H17" s="5">
        <f>'Año 5'!N11</f>
        <v>510</v>
      </c>
    </row>
    <row r="18" spans="2:9">
      <c r="B18" s="3" t="s">
        <v>379</v>
      </c>
      <c r="D18" s="5">
        <f>'Año 1 escenario 1'!O25</f>
        <v>363883</v>
      </c>
      <c r="E18" s="5">
        <f>'Año 2'!O15</f>
        <v>102000</v>
      </c>
      <c r="F18" s="5">
        <f>'Año 3'!O15</f>
        <v>192000.03</v>
      </c>
      <c r="G18" s="5">
        <f>'Año 4'!O15</f>
        <v>240000</v>
      </c>
      <c r="H18" s="5">
        <f>'Año 5'!O15</f>
        <v>300000</v>
      </c>
      <c r="I18" s="5">
        <f>SUM(D18:H18)</f>
        <v>1197883.03</v>
      </c>
    </row>
    <row r="19" ht="15" customHeight="1" spans="2:9">
      <c r="B19" s="3" t="s">
        <v>380</v>
      </c>
      <c r="D19" s="5">
        <f>'Año 1 escenario 1'!O42</f>
        <v>126090</v>
      </c>
      <c r="E19" s="5">
        <f>'Año 2'!O24</f>
        <v>96000</v>
      </c>
      <c r="F19" s="5">
        <f>'Año 3'!O24</f>
        <v>108000</v>
      </c>
      <c r="G19" s="5">
        <f>'Año 4'!O24</f>
        <v>130000.08</v>
      </c>
      <c r="H19" s="5">
        <f>'Año 5'!O24</f>
        <v>150000</v>
      </c>
      <c r="I19" s="5">
        <f>SUM(D19:H19)</f>
        <v>610090.08</v>
      </c>
    </row>
    <row r="20" ht="15" customHeight="1" spans="2:9">
      <c r="B20" s="13" t="s">
        <v>381</v>
      </c>
      <c r="C20" s="14"/>
      <c r="D20" s="14">
        <f>D18-D19</f>
        <v>237793</v>
      </c>
      <c r="E20" s="14">
        <f>E18-E19</f>
        <v>6000.00000000001</v>
      </c>
      <c r="F20" s="14">
        <f>F18-F19</f>
        <v>84000.03</v>
      </c>
      <c r="G20" s="14">
        <f>G18-G19</f>
        <v>109999.92</v>
      </c>
      <c r="H20" s="14">
        <f>H18-H19</f>
        <v>150000</v>
      </c>
      <c r="I20" s="14">
        <f>SUM(D20:H20)</f>
        <v>587792.95</v>
      </c>
    </row>
    <row r="21" spans="2:8">
      <c r="B21" s="3" t="s">
        <v>337</v>
      </c>
      <c r="D21" s="5">
        <f>D20</f>
        <v>237793</v>
      </c>
      <c r="E21" s="5">
        <f>D21+E20</f>
        <v>243793</v>
      </c>
      <c r="F21" s="5">
        <f>E21+F20</f>
        <v>327793.03</v>
      </c>
      <c r="G21" s="5">
        <f>F21+G20</f>
        <v>437792.95</v>
      </c>
      <c r="H21" s="5">
        <f>G21+H20</f>
        <v>587792.95</v>
      </c>
    </row>
    <row r="22" spans="2:12">
      <c r="B22" s="3" t="s">
        <v>382</v>
      </c>
      <c r="D22" s="5">
        <f>D20*$C$6</f>
        <v>44372.1738</v>
      </c>
      <c r="E22" s="5">
        <f>E20*$C$6</f>
        <v>1119.6</v>
      </c>
      <c r="F22" s="5">
        <f>F20*$C$6</f>
        <v>15674.405598</v>
      </c>
      <c r="G22" s="5">
        <f>G20*$C$6</f>
        <v>20525.985072</v>
      </c>
      <c r="H22" s="5">
        <f>H20*$C$6</f>
        <v>27990</v>
      </c>
      <c r="K22" s="3" t="s">
        <v>383</v>
      </c>
      <c r="L22" s="3" t="s">
        <v>384</v>
      </c>
    </row>
    <row r="23" spans="2:11">
      <c r="B23" s="3" t="s">
        <v>385</v>
      </c>
      <c r="D23" s="5">
        <f>D22</f>
        <v>44372.1738</v>
      </c>
      <c r="E23" s="5">
        <f>D23+E22</f>
        <v>45491.7738</v>
      </c>
      <c r="F23" s="5">
        <f>E23+F22</f>
        <v>61166.179398</v>
      </c>
      <c r="G23" s="5">
        <f>F23+G22</f>
        <v>81692.16447</v>
      </c>
      <c r="H23" s="5">
        <f>G23+H22</f>
        <v>109682.16447</v>
      </c>
      <c r="K23" s="5">
        <f>H23</f>
        <v>109682.16447</v>
      </c>
    </row>
    <row r="24" spans="2:12">
      <c r="B24" s="3" t="s">
        <v>386</v>
      </c>
      <c r="D24" s="5">
        <f>MAX(0,-$C$9-D23)</f>
        <v>67615.8262</v>
      </c>
      <c r="E24" s="5">
        <f>MAX(0,-$C$9-E23)</f>
        <v>66496.2262</v>
      </c>
      <c r="F24" s="5">
        <f>MAX(0,-$C$9-F23)</f>
        <v>50821.820602</v>
      </c>
      <c r="G24" s="5">
        <f>MAX(0,-$C$9-G23)</f>
        <v>30295.83553</v>
      </c>
      <c r="H24" s="5">
        <f>MAX(0,-$C$9-H23)</f>
        <v>2305.83553</v>
      </c>
      <c r="L24" s="5">
        <f>H24</f>
        <v>2305.83553</v>
      </c>
    </row>
    <row r="25" spans="2:8">
      <c r="B25" s="3" t="s">
        <v>387</v>
      </c>
      <c r="D25" s="5">
        <f>D20-D22</f>
        <v>193420.8262</v>
      </c>
      <c r="E25" s="5">
        <f>E20-E22</f>
        <v>4880.40000000001</v>
      </c>
      <c r="F25" s="5">
        <f>F20-F22</f>
        <v>68325.624402</v>
      </c>
      <c r="G25" s="5">
        <f>G20-G22</f>
        <v>89473.934928</v>
      </c>
      <c r="H25" s="5">
        <f>H20-H22</f>
        <v>122010</v>
      </c>
    </row>
    <row r="27" spans="10:10">
      <c r="J27" s="3" t="s">
        <v>388</v>
      </c>
    </row>
    <row r="28" spans="10:10">
      <c r="J28" s="5">
        <v>-111988</v>
      </c>
    </row>
    <row r="29" spans="10:10">
      <c r="J29" s="5">
        <f>D20</f>
        <v>237793</v>
      </c>
    </row>
    <row r="30" spans="10:10">
      <c r="J30" s="5">
        <f>E20</f>
        <v>6000.00000000001</v>
      </c>
    </row>
    <row r="31" spans="10:10">
      <c r="J31" s="5">
        <f>F20</f>
        <v>84000.03</v>
      </c>
    </row>
    <row r="32" spans="10:10">
      <c r="J32" s="5">
        <f>G20</f>
        <v>109999.92</v>
      </c>
    </row>
    <row r="33" spans="10:10">
      <c r="J33" s="5">
        <f>H20</f>
        <v>150000</v>
      </c>
    </row>
    <row r="34" spans="2:3">
      <c r="B34" s="3" t="s">
        <v>389</v>
      </c>
      <c r="C34" s="5">
        <f>NPV($C$8,D20:H20)</f>
        <v>331290.382592</v>
      </c>
    </row>
    <row r="35" spans="2:3">
      <c r="B35" s="3" t="s">
        <v>390</v>
      </c>
      <c r="C35" s="5">
        <f>C34+C9</f>
        <v>219302.382592</v>
      </c>
    </row>
    <row r="36" spans="2:3">
      <c r="B36" s="3" t="s">
        <v>391</v>
      </c>
      <c r="C36" s="5">
        <f>NPV($C$8,D20:F20)</f>
        <v>237082.41536</v>
      </c>
    </row>
    <row r="37" spans="2:3">
      <c r="B37" s="3" t="s">
        <v>392</v>
      </c>
      <c r="C37" s="5">
        <f>C36+C9</f>
        <v>125094.41536</v>
      </c>
    </row>
    <row r="38" spans="2:3">
      <c r="B38" s="3" t="s">
        <v>393</v>
      </c>
      <c r="C38" s="4">
        <f>IRR(J28:J33)</f>
        <v>1.39008736317769</v>
      </c>
    </row>
    <row r="39" spans="2:3">
      <c r="B39" s="3" t="s">
        <v>394</v>
      </c>
      <c r="C39" s="4">
        <f>IRR(J28:J31)</f>
        <v>1.28983145685178</v>
      </c>
    </row>
    <row r="40" spans="2:3">
      <c r="B40" s="3" t="s">
        <v>395</v>
      </c>
      <c r="C40" s="4">
        <f>$C$8</f>
        <v>0.25</v>
      </c>
    </row>
    <row r="41" spans="2:3">
      <c r="B41" s="3" t="s">
        <v>396</v>
      </c>
      <c r="C41" s="5" t="str">
        <f>IF(H23&gt;=ABS($C$9),5,IF(G23&gt;=ABS($C$9),4,IF(F23&gt;=ABS($C$9),3,IF(E23&gt;=ABS($C$9),2,IF(D23&gt;=ABS($C$9),1,"[LARGO PLAZO]")))))</f>
        <v>[LARGO PLAZO]</v>
      </c>
    </row>
    <row r="42" spans="2:3">
      <c r="B42" s="3" t="s">
        <v>397</v>
      </c>
      <c r="C42" s="4">
        <f>H23/ABS($C$9)</f>
        <v>0.979409976693931</v>
      </c>
    </row>
    <row r="43" spans="2:3">
      <c r="B43" s="3" t="s">
        <v>398</v>
      </c>
      <c r="C43" s="5" t="str">
        <f>IF(C41="[LARGO PLAZO]","CCF acum Y5 no cubre SAFE — ver % recuperado","")</f>
        <v>CCF acum Y5 no cubre SAFE — ver % recuperado</v>
      </c>
    </row>
    <row r="45" spans="2:2">
      <c r="B45" s="15" t="s">
        <v>399</v>
      </c>
    </row>
  </sheetData>
  <mergeCells count="1">
    <mergeCell ref="B2:I2"/>
  </mergeCells>
  <pageMargins left="0.75" right="0.75" top="1" bottom="1" header="0.511811023622047" footer="0.511811023622047"/>
  <pageSetup paperSize="1" orientation="portrait" horizontalDpi="300" verticalDpi="300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11"/>
  <sheetViews>
    <sheetView zoomScale="95" zoomScaleNormal="95" workbookViewId="0">
      <selection activeCell="H21" sqref="H21"/>
    </sheetView>
  </sheetViews>
  <sheetFormatPr defaultColWidth="8.66666666666667" defaultRowHeight="14.25" outlineLevelCol="6"/>
  <cols>
    <col min="1" max="1" width="2.21666666666667" customWidth="1"/>
    <col min="2" max="2" width="39.3333333333333" customWidth="1"/>
    <col min="3" max="3" width="20.775" customWidth="1"/>
    <col min="4" max="4" width="21.775" customWidth="1"/>
    <col min="5" max="5" width="25.2166666666667" customWidth="1"/>
    <col min="6" max="6" width="26.1083333333333" customWidth="1"/>
    <col min="7" max="7" width="23.5583333333333" customWidth="1"/>
    <col min="8" max="8" width="12.1083333333333" customWidth="1"/>
    <col min="9" max="9" width="11.5583333333333" customWidth="1"/>
  </cols>
  <sheetData>
    <row r="2" ht="56.7" customHeight="1" spans="2:2">
      <c r="B2" s="1" t="s">
        <v>400</v>
      </c>
    </row>
    <row r="4" spans="3:7">
      <c r="C4" s="2" t="s">
        <v>373</v>
      </c>
      <c r="D4" s="2" t="s">
        <v>374</v>
      </c>
      <c r="E4" s="2" t="s">
        <v>375</v>
      </c>
      <c r="F4" s="2" t="s">
        <v>376</v>
      </c>
      <c r="G4" s="2" t="s">
        <v>377</v>
      </c>
    </row>
    <row r="6" spans="2:7">
      <c r="B6" s="3" t="s">
        <v>401</v>
      </c>
      <c r="D6" s="4">
        <f>IF(C8=0,"",(D8-C8)/C8)</f>
        <v>-0.719690120175991</v>
      </c>
      <c r="E6" s="4">
        <f>IF(D8=0,"",(E8-D8)/D8)</f>
        <v>0.882353235294117</v>
      </c>
      <c r="F6" s="4">
        <f>IF(E8=0,"",(F8-E8)/E8)</f>
        <v>0.249999804687531</v>
      </c>
      <c r="G6" s="4">
        <f>IF(F8=0,"",(G8-F8)/F8)</f>
        <v>0.25</v>
      </c>
    </row>
    <row r="7" spans="2:7">
      <c r="B7" s="3" t="s">
        <v>378</v>
      </c>
      <c r="C7" s="5">
        <f>'Año 1 escenario 1'!N19</f>
        <v>159</v>
      </c>
      <c r="D7" s="5">
        <f>'Año 2'!N11</f>
        <v>187</v>
      </c>
      <c r="E7" s="5">
        <f>'Año 3'!N11</f>
        <v>374</v>
      </c>
      <c r="F7" s="5">
        <f>'Año 4'!N11</f>
        <v>442</v>
      </c>
      <c r="G7" s="5">
        <f>'Año 5'!N11</f>
        <v>510</v>
      </c>
    </row>
    <row r="8" spans="2:7">
      <c r="B8" s="3" t="s">
        <v>402</v>
      </c>
      <c r="C8" s="5">
        <f>'Año 1 escenario 1'!O25</f>
        <v>363883</v>
      </c>
      <c r="D8" s="5">
        <f>'Año 2'!O15</f>
        <v>102000</v>
      </c>
      <c r="E8" s="5">
        <f>'Año 3'!O15</f>
        <v>192000.03</v>
      </c>
      <c r="F8" s="5">
        <f>'Año 4'!O15</f>
        <v>240000</v>
      </c>
      <c r="G8" s="5">
        <f>'Año 5'!O15</f>
        <v>300000</v>
      </c>
    </row>
    <row r="9" spans="2:7">
      <c r="B9" s="3" t="s">
        <v>403</v>
      </c>
      <c r="C9" s="5">
        <v>50</v>
      </c>
      <c r="D9" s="5">
        <v>52</v>
      </c>
      <c r="E9" s="5">
        <v>55</v>
      </c>
      <c r="F9" s="5">
        <v>58</v>
      </c>
      <c r="G9" s="5">
        <v>60</v>
      </c>
    </row>
    <row r="10" spans="2:7">
      <c r="B10" s="3" t="s">
        <v>404</v>
      </c>
      <c r="C10" s="5">
        <f>'Año 1 escenario 1'!O42/12</f>
        <v>10507.5</v>
      </c>
      <c r="D10" s="5">
        <f>'Año 2'!O24/12</f>
        <v>8000</v>
      </c>
      <c r="E10" s="5">
        <f>'Año 3'!O24/12</f>
        <v>9000</v>
      </c>
      <c r="F10" s="5">
        <f>'Año 4'!O24/12</f>
        <v>10833.34</v>
      </c>
      <c r="G10" s="5">
        <f>'Año 5'!O24/12</f>
        <v>12500</v>
      </c>
    </row>
    <row r="11" spans="2:7">
      <c r="B11" s="3" t="s">
        <v>351</v>
      </c>
      <c r="C11" s="3" t="s">
        <v>405</v>
      </c>
      <c r="D11" s="3" t="s">
        <v>406</v>
      </c>
      <c r="E11" s="3" t="s">
        <v>407</v>
      </c>
      <c r="F11" s="3" t="s">
        <v>408</v>
      </c>
      <c r="G11" s="3" t="s">
        <v>408</v>
      </c>
    </row>
  </sheetData>
  <mergeCells count="1">
    <mergeCell ref="B2:G2"/>
  </mergeCells>
  <pageMargins left="0.75" right="0.75" top="1" bottom="1" header="0.511811023622047" footer="0.511811023622047"/>
  <pageSetup paperSize="1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Detallado de la inversión.</vt:lpstr>
      <vt:lpstr>Hoja3</vt:lpstr>
      <vt:lpstr>Hoja1</vt:lpstr>
      <vt:lpstr>Hoja2</vt:lpstr>
      <vt:lpstr>ESTA SI VALE</vt:lpstr>
      <vt:lpstr>Año 1 escenario 1</vt:lpstr>
      <vt:lpstr>Año 1 escenario 2</vt:lpstr>
      <vt:lpstr>Año 1 GaboTic</vt:lpstr>
      <vt:lpstr>Año 2</vt:lpstr>
      <vt:lpstr>Año 3</vt:lpstr>
      <vt:lpstr>Año 4</vt:lpstr>
      <vt:lpstr>Año 5</vt:lpstr>
      <vt:lpstr>Flujo Total</vt:lpstr>
      <vt:lpstr>Tasa Crecimiento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aipp</cp:lastModifiedBy>
  <cp:revision>1</cp:revision>
  <dcterms:created xsi:type="dcterms:W3CDTF">2026-06-23T07:03:00Z</dcterms:created>
  <dcterms:modified xsi:type="dcterms:W3CDTF">2026-07-17T14:20:27Z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