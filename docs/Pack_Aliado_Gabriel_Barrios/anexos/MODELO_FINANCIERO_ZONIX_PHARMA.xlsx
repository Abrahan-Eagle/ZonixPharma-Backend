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5" autoFilterDateGrouping="1"/>
  </bookViews>
  <sheets>
    <sheet xmlns:r="http://schemas.openxmlformats.org/officeDocument/2006/relationships" name="Detallado de la inversión." sheetId="1" state="visible" r:id="rId1"/>
    <sheet xmlns:r="http://schemas.openxmlformats.org/officeDocument/2006/relationships" name="Hoja3" sheetId="2" state="visible" r:id="rId2"/>
    <sheet xmlns:r="http://schemas.openxmlformats.org/officeDocument/2006/relationships" name="Hoja1" sheetId="3" state="visible" r:id="rId3"/>
    <sheet xmlns:r="http://schemas.openxmlformats.org/officeDocument/2006/relationships" name="Hoja2" sheetId="4" state="visible" r:id="rId4"/>
    <sheet xmlns:r="http://schemas.openxmlformats.org/officeDocument/2006/relationships" name="ESTA SI VALE" sheetId="5" state="visible" r:id="rId5"/>
    <sheet xmlns:r="http://schemas.openxmlformats.org/officeDocument/2006/relationships" name="Año 1 escenario 1" sheetId="6" state="visible" r:id="rId6"/>
    <sheet xmlns:r="http://schemas.openxmlformats.org/officeDocument/2006/relationships" name="Año 1 escenario 2" sheetId="7" state="visible" r:id="rId7"/>
    <sheet xmlns:r="http://schemas.openxmlformats.org/officeDocument/2006/relationships" name="Año 1 GaboTic" sheetId="8" state="visible" r:id="rId8"/>
    <sheet xmlns:r="http://schemas.openxmlformats.org/officeDocument/2006/relationships" name="Año 2" sheetId="9" state="visible" r:id="rId9"/>
    <sheet xmlns:r="http://schemas.openxmlformats.org/officeDocument/2006/relationships" name="Año 3" sheetId="10" state="visible" r:id="rId10"/>
    <sheet xmlns:r="http://schemas.openxmlformats.org/officeDocument/2006/relationships" name="Año 4" sheetId="11" state="visible" r:id="rId11"/>
    <sheet xmlns:r="http://schemas.openxmlformats.org/officeDocument/2006/relationships" name="Año 5" sheetId="12" state="visible" r:id="rId12"/>
    <sheet xmlns:r="http://schemas.openxmlformats.org/officeDocument/2006/relationships" name="Flujo Total" sheetId="13" state="visible" r:id="rId13"/>
    <sheet xmlns:r="http://schemas.openxmlformats.org/officeDocument/2006/relationships" name="Tasa Crecimiento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&quot; &quot;%"/>
    <numFmt numFmtId="165" formatCode="#,##0.00;[Red]\(#,##0.00\)"/>
    <numFmt numFmtId="166" formatCode="_ * #,##0.00_ ;_ * \-#,##0.00_ ;_ * &quot;-&quot;??_ ;_ @_ "/>
    <numFmt numFmtId="167" formatCode="#,###.##000_ "/>
    <numFmt numFmtId="168" formatCode="#,##0.00;[Red]#,##0.00"/>
    <numFmt numFmtId="169" formatCode="_-* #,##0.00_-;\-* #,##0.00_-;_-* &quot;-&quot;??_-;_-@_-"/>
  </numFmts>
  <fonts count="33">
    <font>
      <name val="Calibri"/>
      <charset val="1"/>
      <color theme="1"/>
      <sz val="11"/>
    </font>
    <font>
      <name val="HelveticaNeueLT Std"/>
      <charset val="1"/>
      <b val="1"/>
      <color rgb="FFFFFFFF"/>
      <sz val="20"/>
    </font>
    <font>
      <name val="Aptos Narrow"/>
      <charset val="1"/>
      <b val="1"/>
      <sz val="9"/>
    </font>
    <font>
      <name val="Aptos Narrow"/>
      <charset val="1"/>
      <b val="1"/>
      <color rgb="FFFFFFFF"/>
      <sz val="9"/>
    </font>
    <font>
      <name val="Aptos Narrow"/>
      <charset val="1"/>
      <sz val="9"/>
    </font>
    <font>
      <name val="Arial"/>
      <charset val="1"/>
      <b val="1"/>
      <color rgb="FFFFFFFF"/>
      <sz val="8"/>
    </font>
    <font>
      <name val="Arial"/>
      <charset val="1"/>
      <sz val="8"/>
    </font>
    <font>
      <name val="Arial"/>
      <charset val="1"/>
      <b val="1"/>
      <sz val="10"/>
    </font>
    <font>
      <name val="Aptos Narrow"/>
      <charset val="1"/>
      <i val="1"/>
      <color rgb="FF444444"/>
      <sz val="9"/>
    </font>
    <font>
      <name val="HelveticaNeueLT Std"/>
      <charset val="1"/>
      <b val="1"/>
      <color rgb="FF444444"/>
      <sz val="10"/>
    </font>
    <font>
      <name val="Cambria"/>
      <charset val="1"/>
      <b val="1"/>
      <sz val="9"/>
    </font>
    <font>
      <name val="Cambria"/>
      <charset val="1"/>
      <b val="1"/>
      <sz val="10"/>
    </font>
    <font>
      <name val="Calibri"/>
      <charset val="1"/>
      <b val="1"/>
      <sz val="24"/>
    </font>
    <font>
      <name val="HelveticaNeueLT Std"/>
      <charset val="1"/>
      <b val="1"/>
      <color rgb="FFFFFFFF"/>
      <sz val="10"/>
    </font>
    <font>
      <name val="SimSun"/>
      <charset val="134"/>
      <sz val="10"/>
    </font>
    <font>
      <name val="Calibri"/>
      <charset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i val="1"/>
      <color rgb="FF444444"/>
      <sz val="10"/>
    </font>
    <font>
      <name val="Arial"/>
      <family val="2"/>
      <color rgb="FFFF0000"/>
      <sz val="10"/>
    </font>
    <font>
      <name val="Arial"/>
      <family val="2"/>
      <color theme="1"/>
      <sz val="8"/>
    </font>
    <font>
      <name val="Arial"/>
      <family val="2"/>
      <color theme="1"/>
      <sz val="7"/>
    </font>
    <font>
      <name val="Arial"/>
      <family val="2"/>
      <color rgb="FFFF0000"/>
      <sz val="7"/>
    </font>
    <font>
      <name val="Arial"/>
      <family val="2"/>
      <b val="1"/>
      <color theme="0"/>
      <sz val="10"/>
    </font>
    <font>
      <name val="Arial"/>
      <family val="2"/>
      <b val="1"/>
      <color theme="0"/>
      <sz val="12"/>
    </font>
    <font>
      <name val="Arial"/>
      <family val="2"/>
      <sz val="10"/>
    </font>
    <font>
      <name val="Arial"/>
      <family val="2"/>
      <color theme="0"/>
      <sz val="10"/>
    </font>
    <font>
      <name val="Arial"/>
      <family val="2"/>
      <color theme="0"/>
      <sz val="8"/>
    </font>
    <font>
      <name val="Arial"/>
      <family val="2"/>
      <i val="1"/>
      <color theme="1"/>
      <sz val="10"/>
    </font>
    <font>
      <name val="Calibri"/>
      <family val="2"/>
      <sz val="8"/>
    </font>
    <font>
      <name val="Arial"/>
      <family val="2"/>
      <color theme="4" tint="-0.249977111117893"/>
      <sz val="10"/>
    </font>
  </fonts>
  <fills count="17">
    <fill>
      <patternFill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AC75D5"/>
        <bgColor rgb="FF969696"/>
      </patternFill>
    </fill>
    <fill>
      <patternFill patternType="solid">
        <fgColor rgb="FFD1B2E8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theme="9" tint="0.79995117038483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double">
        <color rgb="FFAC75D5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double">
        <color rgb="FFAC75D5"/>
      </top>
      <bottom style="thin">
        <color rgb="FFCCCCCC"/>
      </bottom>
      <diagonal/>
    </border>
    <border>
      <left style="thin">
        <color rgb="FFCCCCCC"/>
      </left>
      <right/>
      <top style="double">
        <color rgb="FFAC75D5"/>
      </top>
      <bottom style="thin">
        <color rgb="FFCCCCCC"/>
      </bottom>
      <diagonal/>
    </border>
    <border>
      <left/>
      <right/>
      <top style="double">
        <color rgb="FFAC75D5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double">
        <color rgb="FFAC75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rgb="FFAC75D5"/>
      </top>
      <bottom/>
      <diagonal/>
    </border>
    <border>
      <left/>
      <right style="thin">
        <color rgb="FFCCCCCC"/>
      </right>
      <top style="double">
        <color rgb="FFAC75D5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2">
    <xf numFmtId="0" fontId="15" fillId="0" borderId="0"/>
    <xf numFmtId="169" fontId="15" fillId="0" borderId="0"/>
  </cellStyleXfs>
  <cellXfs count="216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165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164" fontId="4" fillId="5" borderId="1" pivotButton="0" quotePrefix="0" xfId="0"/>
    <xf numFmtId="165" fontId="4" fillId="6" borderId="1" pivotButton="0" quotePrefix="0" xfId="0"/>
    <xf numFmtId="0" fontId="2" fillId="3" borderId="2" pivotButton="0" quotePrefix="0" xfId="0"/>
    <xf numFmtId="165" fontId="2" fillId="3" borderId="2" pivotButton="0" quotePrefix="0" xfId="0"/>
    <xf numFmtId="0" fontId="4" fillId="0" borderId="1" pivotButton="0" quotePrefix="0" xfId="0"/>
    <xf numFmtId="0" fontId="2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pivotButton="0" quotePrefix="0" xfId="0"/>
    <xf numFmtId="165" fontId="6" fillId="5" borderId="1" pivotButton="0" quotePrefix="0" xfId="0"/>
    <xf numFmtId="0" fontId="6" fillId="6" borderId="1" pivotButton="0" quotePrefix="0" xfId="0"/>
    <xf numFmtId="165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0" fontId="7" fillId="0" borderId="1" pivotButton="0" quotePrefix="0" xfId="0"/>
    <xf numFmtId="0" fontId="2" fillId="5" borderId="1" pivotButton="0" quotePrefix="0" xfId="0"/>
    <xf numFmtId="9" fontId="0" fillId="0" borderId="0" pivotButton="0" quotePrefix="0" xfId="0"/>
    <xf numFmtId="166" fontId="15" fillId="0" borderId="0" pivotButton="0" quotePrefix="0" xfId="1"/>
    <xf numFmtId="166" fontId="0" fillId="0" borderId="0" pivotButton="0" quotePrefix="0" xfId="0"/>
    <xf numFmtId="0" fontId="8" fillId="0" borderId="0" pivotButton="0" quotePrefix="0" xfId="0"/>
    <xf numFmtId="0" fontId="0" fillId="5" borderId="1" pivotButton="0" quotePrefix="0" xfId="0"/>
    <xf numFmtId="165" fontId="0" fillId="5" borderId="1" pivotButton="0" quotePrefix="0" xfId="0"/>
    <xf numFmtId="164" fontId="0" fillId="5" borderId="1" pivotButton="0" quotePrefix="0" xfId="0"/>
    <xf numFmtId="0" fontId="1" fillId="0" borderId="1" pivotButton="0" quotePrefix="0" xfId="0"/>
    <xf numFmtId="0" fontId="10" fillId="0" borderId="1" applyAlignment="1" pivotButton="0" quotePrefix="0" xfId="0">
      <alignment wrapText="1"/>
    </xf>
    <xf numFmtId="0" fontId="11" fillId="0" borderId="1" pivotButton="0" quotePrefix="0" xfId="0"/>
    <xf numFmtId="0" fontId="0" fillId="5" borderId="0" pivotButton="0" quotePrefix="0" xfId="0"/>
    <xf numFmtId="165" fontId="2" fillId="5" borderId="1" pivotButton="0" quotePrefix="0" xfId="0"/>
    <xf numFmtId="0" fontId="8" fillId="5" borderId="1" pivotButton="0" quotePrefix="0" xfId="0"/>
    <xf numFmtId="0" fontId="2" fillId="0" borderId="1" pivotButton="0" quotePrefix="0" xfId="0"/>
    <xf numFmtId="0" fontId="8" fillId="0" borderId="1" pivotButton="0" quotePrefix="0" xfId="0"/>
    <xf numFmtId="165" fontId="2" fillId="8" borderId="2" pivotButton="0" quotePrefix="0" xfId="0"/>
    <xf numFmtId="165" fontId="2" fillId="0" borderId="1" pivotButton="0" quotePrefix="0" xfId="0"/>
    <xf numFmtId="164" fontId="8" fillId="0" borderId="1" pivotButton="0" quotePrefix="0" xfId="0"/>
    <xf numFmtId="0" fontId="7" fillId="3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4" borderId="0" applyAlignment="1" pivotButton="0" quotePrefix="0" xfId="0">
      <alignment horizontal="center"/>
    </xf>
    <xf numFmtId="0" fontId="0" fillId="0" borderId="6" pivotButton="0" quotePrefix="0" xfId="0"/>
    <xf numFmtId="0" fontId="8" fillId="5" borderId="0" applyAlignment="1" pivotButton="0" quotePrefix="0" xfId="0">
      <alignment wrapText="1"/>
    </xf>
    <xf numFmtId="0" fontId="0" fillId="0" borderId="4" pivotButton="0" quotePrefix="0" xfId="0"/>
    <xf numFmtId="0" fontId="1" fillId="2" borderId="3" applyAlignment="1" pivotButton="0" quotePrefix="0" xfId="0">
      <alignment horizontal="center"/>
    </xf>
    <xf numFmtId="0" fontId="2" fillId="5" borderId="1" pivotButton="0" quotePrefix="0" xfId="0"/>
    <xf numFmtId="0" fontId="3" fillId="4" borderId="1" applyAlignment="1" pivotButton="0" quotePrefix="0" xfId="0">
      <alignment horizontal="center" vertical="center"/>
    </xf>
    <xf numFmtId="0" fontId="13" fillId="9" borderId="1" pivotButton="0" quotePrefix="0" xfId="0"/>
    <xf numFmtId="0" fontId="0" fillId="0" borderId="1" pivotButton="0" quotePrefix="0" xfId="0"/>
    <xf numFmtId="0" fontId="2" fillId="8" borderId="7" pivotButton="0" quotePrefix="0" xfId="0"/>
    <xf numFmtId="0" fontId="0" fillId="0" borderId="8" pivotButton="0" quotePrefix="0" xfId="0"/>
    <xf numFmtId="0" fontId="9" fillId="5" borderId="1" pivotButton="0" quotePrefix="0" xfId="0"/>
    <xf numFmtId="0" fontId="0" fillId="5" borderId="1" pivotButton="0" quotePrefix="0" xfId="0"/>
    <xf numFmtId="0" fontId="2" fillId="5" borderId="0" pivotButton="0" quotePrefix="0" xfId="0"/>
    <xf numFmtId="0" fontId="8" fillId="5" borderId="1" pivotButton="0" quotePrefix="0" xfId="0"/>
    <xf numFmtId="0" fontId="2" fillId="0" borderId="1" pivotButton="0" quotePrefix="0" xfId="0"/>
    <xf numFmtId="165" fontId="2" fillId="3" borderId="2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8" borderId="2" pivotButton="0" quotePrefix="0" xfId="0"/>
    <xf numFmtId="0" fontId="17" fillId="2" borderId="9" pivotButton="0" quotePrefix="0" xfId="0"/>
    <xf numFmtId="0" fontId="18" fillId="0" borderId="0" pivotButton="0" quotePrefix="0" xfId="0"/>
    <xf numFmtId="0" fontId="17" fillId="2" borderId="0" applyAlignment="1" pivotButton="0" quotePrefix="0" xfId="0">
      <alignment horizontal="center" vertical="center" wrapText="1"/>
    </xf>
    <xf numFmtId="0" fontId="18" fillId="0" borderId="0" pivotButton="0" quotePrefix="0" xfId="0"/>
    <xf numFmtId="0" fontId="17" fillId="4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5" pivotButton="0" quotePrefix="0" xfId="0"/>
    <xf numFmtId="0" fontId="19" fillId="0" borderId="1" applyAlignment="1" pivotButton="0" quotePrefix="0" xfId="0">
      <alignment horizontal="center"/>
    </xf>
    <xf numFmtId="0" fontId="17" fillId="4" borderId="0" applyAlignment="1" pivotButton="0" quotePrefix="0" xfId="0">
      <alignment horizontal="center"/>
    </xf>
    <xf numFmtId="0" fontId="18" fillId="10" borderId="9" pivotButton="0" quotePrefix="0" xfId="0"/>
    <xf numFmtId="165" fontId="18" fillId="10" borderId="1" pivotButton="0" quotePrefix="0" xfId="0"/>
    <xf numFmtId="165" fontId="19" fillId="10" borderId="1" pivotButton="0" quotePrefix="0" xfId="0"/>
    <xf numFmtId="164" fontId="18" fillId="10" borderId="1" pivotButton="0" quotePrefix="0" xfId="0"/>
    <xf numFmtId="0" fontId="18" fillId="10" borderId="0" pivotButton="0" quotePrefix="0" xfId="0"/>
    <xf numFmtId="0" fontId="18" fillId="0" borderId="1" pivotButton="0" quotePrefix="0" xfId="0"/>
    <xf numFmtId="167" fontId="18" fillId="0" borderId="0" pivotButton="0" quotePrefix="0" xfId="0"/>
    <xf numFmtId="164" fontId="19" fillId="10" borderId="1" pivotButton="0" quotePrefix="0" xfId="0"/>
    <xf numFmtId="165" fontId="18" fillId="0" borderId="1" pivotButton="0" quotePrefix="0" xfId="0"/>
    <xf numFmtId="0" fontId="19" fillId="10" borderId="1" pivotButton="0" quotePrefix="0" xfId="0"/>
    <xf numFmtId="168" fontId="18" fillId="0" borderId="0" pivotButton="0" quotePrefix="0" xfId="0"/>
    <xf numFmtId="165" fontId="19" fillId="0" borderId="1" pivotButton="0" quotePrefix="0" xfId="0"/>
    <xf numFmtId="165" fontId="19" fillId="8" borderId="2" pivotButton="0" quotePrefix="0" xfId="0"/>
    <xf numFmtId="0" fontId="18" fillId="0" borderId="6" pivotButton="0" quotePrefix="0" xfId="0"/>
    <xf numFmtId="165" fontId="19" fillId="8" borderId="2" pivotButton="0" quotePrefix="0" xfId="0"/>
    <xf numFmtId="164" fontId="19" fillId="8" borderId="1" pivotButton="0" quotePrefix="0" xfId="0"/>
    <xf numFmtId="164" fontId="20" fillId="0" borderId="1" pivotButton="0" quotePrefix="0" xfId="0"/>
    <xf numFmtId="0" fontId="18" fillId="0" borderId="9" pivotButton="0" quotePrefix="0" xfId="0"/>
    <xf numFmtId="0" fontId="19" fillId="5" borderId="1" pivotButton="0" quotePrefix="0" xfId="0"/>
    <xf numFmtId="0" fontId="20" fillId="5" borderId="0" applyAlignment="1" pivotButton="0" quotePrefix="0" xfId="0">
      <alignment wrapText="1"/>
    </xf>
    <xf numFmtId="0" fontId="21" fillId="10" borderId="9" pivotButton="0" quotePrefix="0" xfId="0"/>
    <xf numFmtId="0" fontId="18" fillId="10" borderId="1" applyAlignment="1" pivotButton="0" quotePrefix="0" xfId="0">
      <alignment horizontal="left"/>
    </xf>
    <xf numFmtId="0" fontId="18" fillId="0" borderId="4" pivotButton="0" quotePrefix="0" xfId="0"/>
    <xf numFmtId="164" fontId="18" fillId="0" borderId="1" pivotButton="0" quotePrefix="0" xfId="0"/>
    <xf numFmtId="165" fontId="18" fillId="10" borderId="0" pivotButton="0" quotePrefix="0" xfId="0"/>
    <xf numFmtId="164" fontId="18" fillId="0" borderId="0" pivotButton="0" quotePrefix="0" xfId="0"/>
    <xf numFmtId="0" fontId="18" fillId="10" borderId="5" applyAlignment="1" pivotButton="0" quotePrefix="0" xfId="0">
      <alignment horizontal="left"/>
    </xf>
    <xf numFmtId="0" fontId="18" fillId="10" borderId="10" applyAlignment="1" pivotButton="0" quotePrefix="0" xfId="0">
      <alignment horizontal="left"/>
    </xf>
    <xf numFmtId="0" fontId="18" fillId="0" borderId="10" pivotButton="0" quotePrefix="0" xfId="0"/>
    <xf numFmtId="0" fontId="18" fillId="10" borderId="0" applyAlignment="1" pivotButton="0" quotePrefix="0" xfId="0">
      <alignment horizontal="left"/>
    </xf>
    <xf numFmtId="0" fontId="18" fillId="10" borderId="11" applyAlignment="1" pivotButton="0" quotePrefix="0" xfId="0">
      <alignment horizontal="left"/>
    </xf>
    <xf numFmtId="0" fontId="18" fillId="0" borderId="11" pivotButton="0" quotePrefix="0" xfId="0"/>
    <xf numFmtId="0" fontId="19" fillId="0" borderId="1" pivotButton="0" quotePrefix="0" xfId="0"/>
    <xf numFmtId="0" fontId="21" fillId="11" borderId="0" pivotButton="0" quotePrefix="0" xfId="0"/>
    <xf numFmtId="0" fontId="20" fillId="0" borderId="1" pivotButton="0" quotePrefix="0" xfId="0"/>
    <xf numFmtId="165" fontId="21" fillId="11" borderId="1" pivotButton="0" quotePrefix="0" xfId="0"/>
    <xf numFmtId="0" fontId="20" fillId="5" borderId="1" pivotButton="0" quotePrefix="0" xfId="0"/>
    <xf numFmtId="164" fontId="21" fillId="11" borderId="0" applyAlignment="1" pivotButton="0" quotePrefix="0" xfId="0">
      <alignment horizontal="center"/>
    </xf>
    <xf numFmtId="164" fontId="21" fillId="11" borderId="1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169" fontId="15" fillId="0" borderId="0" pivotButton="0" quotePrefix="0" xfId="1"/>
    <xf numFmtId="0" fontId="18" fillId="0" borderId="12" applyAlignment="1" pivotButton="0" quotePrefix="0" xfId="0">
      <alignment horizontal="center"/>
    </xf>
    <xf numFmtId="0" fontId="18" fillId="0" borderId="12" applyAlignment="1" pivotButton="0" quotePrefix="0" xfId="0">
      <alignment horizontal="center" wrapText="1"/>
    </xf>
    <xf numFmtId="169" fontId="16" fillId="0" borderId="12" applyAlignment="1" pivotButton="0" quotePrefix="0" xfId="1">
      <alignment horizontal="center"/>
    </xf>
    <xf numFmtId="0" fontId="23" fillId="0" borderId="12" applyAlignment="1" pivotButton="0" quotePrefix="0" xfId="0">
      <alignment horizontal="center" vertical="center" wrapText="1"/>
    </xf>
    <xf numFmtId="168" fontId="18" fillId="0" borderId="12" applyAlignment="1" pivotButton="0" quotePrefix="0" xfId="0">
      <alignment horizontal="center"/>
    </xf>
    <xf numFmtId="167" fontId="18" fillId="0" borderId="12" applyAlignment="1" pivotButton="0" quotePrefix="0" xfId="0">
      <alignment horizontal="center"/>
    </xf>
    <xf numFmtId="169" fontId="15" fillId="0" borderId="12" applyAlignment="1" pivotButton="0" quotePrefix="0" xfId="1">
      <alignment horizontal="center"/>
    </xf>
    <xf numFmtId="0" fontId="24" fillId="11" borderId="0" applyAlignment="1" pivotButton="0" quotePrefix="0" xfId="0">
      <alignment horizontal="center" vertical="center" wrapText="1"/>
    </xf>
    <xf numFmtId="0" fontId="19" fillId="0" borderId="0" pivotButton="0" quotePrefix="0" xfId="0"/>
    <xf numFmtId="165" fontId="18" fillId="0" borderId="0" pivotButton="0" quotePrefix="0" xfId="0"/>
    <xf numFmtId="164" fontId="18" fillId="0" borderId="0" pivotButton="0" quotePrefix="0" xfId="0"/>
    <xf numFmtId="0" fontId="18" fillId="0" borderId="0" pivotButton="0" quotePrefix="0" xfId="0"/>
    <xf numFmtId="0" fontId="26" fillId="12" borderId="0" applyAlignment="1" pivotButton="0" quotePrefix="0" xfId="0">
      <alignment horizontal="center" vertical="center"/>
    </xf>
    <xf numFmtId="0" fontId="25" fillId="12" borderId="0" applyAlignment="1" pivotButton="0" quotePrefix="0" xfId="0">
      <alignment horizontal="center"/>
    </xf>
    <xf numFmtId="9" fontId="18" fillId="14" borderId="0" applyAlignment="1" pivotButton="0" quotePrefix="0" xfId="0">
      <alignment horizontal="center"/>
    </xf>
    <xf numFmtId="0" fontId="19" fillId="3" borderId="0" applyAlignment="1" pivotButton="0" quotePrefix="0" xfId="0">
      <alignment horizontal="center"/>
    </xf>
    <xf numFmtId="0" fontId="27" fillId="5" borderId="1" pivotButton="0" quotePrefix="0" xfId="0"/>
    <xf numFmtId="165" fontId="27" fillId="5" borderId="1" pivotButton="0" quotePrefix="0" xfId="0"/>
    <xf numFmtId="0" fontId="25" fillId="12" borderId="0" applyAlignment="1" pivotButton="0" quotePrefix="0" xfId="0">
      <alignment horizontal="center"/>
    </xf>
    <xf numFmtId="0" fontId="27" fillId="6" borderId="1" pivotButton="0" quotePrefix="0" xfId="0"/>
    <xf numFmtId="165" fontId="27" fillId="6" borderId="1" pivotButton="0" quotePrefix="0" xfId="0"/>
    <xf numFmtId="166" fontId="18" fillId="0" borderId="0" pivotButton="0" quotePrefix="0" xfId="1"/>
    <xf numFmtId="166" fontId="18" fillId="0" borderId="0" pivotButton="0" quotePrefix="0" xfId="0"/>
    <xf numFmtId="164" fontId="27" fillId="6" borderId="1" pivotButton="0" quotePrefix="0" xfId="0"/>
    <xf numFmtId="164" fontId="27" fillId="5" borderId="1" pivotButton="0" quotePrefix="0" xfId="0"/>
    <xf numFmtId="0" fontId="19" fillId="3" borderId="2" pivotButton="0" quotePrefix="0" xfId="0"/>
    <xf numFmtId="165" fontId="19" fillId="3" borderId="2" pivotButton="0" quotePrefix="0" xfId="0"/>
    <xf numFmtId="0" fontId="28" fillId="12" borderId="0" pivotButton="0" quotePrefix="0" xfId="0"/>
    <xf numFmtId="0" fontId="28" fillId="12" borderId="0" applyAlignment="1" pivotButton="0" quotePrefix="0" xfId="0">
      <alignment horizontal="center" vertical="center" wrapText="1"/>
    </xf>
    <xf numFmtId="0" fontId="28" fillId="12" borderId="0" applyAlignment="1" pivotButton="0" quotePrefix="0" xfId="0">
      <alignment horizontal="center" wrapText="1"/>
    </xf>
    <xf numFmtId="0" fontId="29" fillId="12" borderId="0" applyAlignment="1" pivotButton="0" quotePrefix="0" xfId="0">
      <alignment horizontal="center" vertical="center" wrapText="1"/>
    </xf>
    <xf numFmtId="0" fontId="29" fillId="12" borderId="0" applyAlignment="1" pivotButton="0" quotePrefix="0" xfId="0">
      <alignment horizontal="center" wrapText="1"/>
    </xf>
    <xf numFmtId="0" fontId="18" fillId="14" borderId="0" pivotButton="0" quotePrefix="0" xfId="0"/>
    <xf numFmtId="166" fontId="18" fillId="14" borderId="0" pivotButton="0" quotePrefix="0" xfId="1"/>
    <xf numFmtId="166" fontId="18" fillId="14" borderId="0" pivotButton="0" quotePrefix="0" xfId="0"/>
    <xf numFmtId="0" fontId="22" fillId="13" borderId="0" applyAlignment="1" pivotButton="0" quotePrefix="0" xfId="0">
      <alignment wrapText="1"/>
    </xf>
    <xf numFmtId="0" fontId="30" fillId="0" borderId="0" applyAlignment="1" pivotButton="0" quotePrefix="0" xfId="0">
      <alignment horizontal="right"/>
    </xf>
    <xf numFmtId="0" fontId="28" fillId="16" borderId="0" applyAlignment="1" pivotButton="0" quotePrefix="0" xfId="0">
      <alignment horizontal="center"/>
    </xf>
    <xf numFmtId="166" fontId="18" fillId="15" borderId="0" applyAlignment="1" pivotButton="0" quotePrefix="0" xfId="0">
      <alignment vertical="center"/>
    </xf>
    <xf numFmtId="0" fontId="22" fillId="13" borderId="0" applyAlignment="1" pivotButton="0" quotePrefix="0" xfId="0">
      <alignment vertical="center" wrapText="1"/>
    </xf>
    <xf numFmtId="0" fontId="32" fillId="0" borderId="1" pivotButton="0" quotePrefix="0" xfId="0"/>
    <xf numFmtId="165" fontId="32" fillId="0" borderId="1" pivotButton="0" quotePrefix="0" xfId="0"/>
    <xf numFmtId="0" fontId="32" fillId="0" borderId="0" pivotButton="0" quotePrefix="0" xfId="0"/>
    <xf numFmtId="0" fontId="19" fillId="5" borderId="1" applyAlignment="1" pivotButton="0" quotePrefix="0" xfId="0">
      <alignment horizontal="center"/>
    </xf>
    <xf numFmtId="165" fontId="18" fillId="10" borderId="1" pivotButton="0" quotePrefix="0" xfId="0"/>
    <xf numFmtId="165" fontId="19" fillId="10" borderId="1" pivotButton="0" quotePrefix="0" xfId="0"/>
    <xf numFmtId="164" fontId="18" fillId="10" borderId="1" pivotButton="0" quotePrefix="0" xfId="0"/>
    <xf numFmtId="167" fontId="18" fillId="0" borderId="0" pivotButton="0" quotePrefix="0" xfId="0"/>
    <xf numFmtId="164" fontId="19" fillId="10" borderId="1" pivotButton="0" quotePrefix="0" xfId="0"/>
    <xf numFmtId="165" fontId="18" fillId="0" borderId="1" pivotButton="0" quotePrefix="0" xfId="0"/>
    <xf numFmtId="168" fontId="18" fillId="0" borderId="0" pivotButton="0" quotePrefix="0" xfId="0"/>
    <xf numFmtId="165" fontId="19" fillId="0" borderId="1" pivotButton="0" quotePrefix="0" xfId="0"/>
    <xf numFmtId="165" fontId="19" fillId="8" borderId="2" pivotButton="0" quotePrefix="0" xfId="0"/>
    <xf numFmtId="164" fontId="19" fillId="8" borderId="1" pivotButton="0" quotePrefix="0" xfId="0"/>
    <xf numFmtId="164" fontId="20" fillId="0" borderId="1" pivotButton="0" quotePrefix="0" xfId="0"/>
    <xf numFmtId="164" fontId="21" fillId="11" borderId="1" applyAlignment="1" pivotButton="0" quotePrefix="0" xfId="0">
      <alignment horizontal="center"/>
    </xf>
    <xf numFmtId="164" fontId="18" fillId="0" borderId="1" pivotButton="0" quotePrefix="0" xfId="0"/>
    <xf numFmtId="169" fontId="15" fillId="0" borderId="12" applyAlignment="1" pivotButton="0" quotePrefix="0" xfId="1">
      <alignment horizontal="center"/>
    </xf>
    <xf numFmtId="169" fontId="15" fillId="0" borderId="0" pivotButton="0" quotePrefix="0" xfId="1"/>
    <xf numFmtId="169" fontId="16" fillId="0" borderId="12" applyAlignment="1" pivotButton="0" quotePrefix="0" xfId="1">
      <alignment horizontal="center"/>
    </xf>
    <xf numFmtId="0" fontId="0" fillId="0" borderId="15" pivotButton="0" quotePrefix="0" xfId="0"/>
    <xf numFmtId="165" fontId="18" fillId="10" borderId="0" pivotButton="0" quotePrefix="0" xfId="0"/>
    <xf numFmtId="164" fontId="21" fillId="11" borderId="0" applyAlignment="1" pivotButton="0" quotePrefix="0" xfId="0">
      <alignment horizontal="center"/>
    </xf>
    <xf numFmtId="0" fontId="0" fillId="0" borderId="10" pivotButton="0" quotePrefix="0" xfId="0"/>
    <xf numFmtId="168" fontId="18" fillId="0" borderId="12" applyAlignment="1" pivotButton="0" quotePrefix="0" xfId="0">
      <alignment horizontal="center"/>
    </xf>
    <xf numFmtId="164" fontId="18" fillId="0" borderId="0" pivotButton="0" quotePrefix="0" xfId="0"/>
    <xf numFmtId="0" fontId="0" fillId="0" borderId="11" pivotButton="0" quotePrefix="0" xfId="0"/>
    <xf numFmtId="167" fontId="18" fillId="0" borderId="12" applyAlignment="1" pivotButton="0" quotePrefix="0" xfId="0">
      <alignment horizontal="center"/>
    </xf>
    <xf numFmtId="165" fontId="18" fillId="0" borderId="0" pivotButton="0" quotePrefix="0" xfId="0"/>
    <xf numFmtId="165" fontId="32" fillId="0" borderId="1" pivotButton="0" quotePrefix="0" xfId="0"/>
    <xf numFmtId="165" fontId="21" fillId="11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2" fillId="3" borderId="2" pivotButton="0" quotePrefix="0" xfId="0"/>
    <xf numFmtId="165" fontId="2" fillId="0" borderId="1" pivotButton="0" quotePrefix="0" xfId="0"/>
    <xf numFmtId="164" fontId="8" fillId="0" borderId="1" pivotButton="0" quotePrefix="0" xfId="0"/>
    <xf numFmtId="165" fontId="2" fillId="8" borderId="2" pivotButton="0" quotePrefix="0" xfId="0"/>
    <xf numFmtId="165" fontId="0" fillId="5" borderId="1" pivotButton="0" quotePrefix="0" xfId="0"/>
    <xf numFmtId="164" fontId="0" fillId="5" borderId="1" pivotButton="0" quotePrefix="0" xfId="0"/>
    <xf numFmtId="165" fontId="2" fillId="5" borderId="1" pivotButton="0" quotePrefix="0" xfId="0"/>
    <xf numFmtId="165" fontId="27" fillId="5" borderId="1" pivotButton="0" quotePrefix="0" xfId="0"/>
    <xf numFmtId="165" fontId="27" fillId="6" borderId="1" pivotButton="0" quotePrefix="0" xfId="0"/>
    <xf numFmtId="166" fontId="18" fillId="14" borderId="0" pivotButton="0" quotePrefix="0" xfId="1"/>
    <xf numFmtId="166" fontId="18" fillId="14" borderId="0" pivotButton="0" quotePrefix="0" xfId="0"/>
    <xf numFmtId="166" fontId="18" fillId="0" borderId="0" pivotButton="0" quotePrefix="0" xfId="1"/>
    <xf numFmtId="166" fontId="18" fillId="0" borderId="0" pivotButton="0" quotePrefix="0" xfId="0"/>
    <xf numFmtId="166" fontId="18" fillId="15" borderId="0" applyAlignment="1" pivotButton="0" quotePrefix="0" xfId="0">
      <alignment vertical="center"/>
    </xf>
    <xf numFmtId="164" fontId="27" fillId="6" borderId="1" pivotButton="0" quotePrefix="0" xfId="0"/>
    <xf numFmtId="164" fontId="27" fillId="5" borderId="1" pivotButton="0" quotePrefix="0" xfId="0"/>
    <xf numFmtId="165" fontId="19" fillId="3" borderId="2" pivotButton="0" quotePrefix="0" xfId="0"/>
    <xf numFmtId="165" fontId="6" fillId="5" borderId="1" pivotButton="0" quotePrefix="0" xfId="0"/>
    <xf numFmtId="165" fontId="6" fillId="6" borderId="1" pivotButton="0" quotePrefix="0" xfId="0"/>
    <xf numFmtId="166" fontId="15" fillId="0" borderId="0" pivotButton="0" quotePrefix="0" xfId="1"/>
    <xf numFmtId="166" fontId="0" fillId="0" borderId="0" pivotButton="0" quotePrefix="0" xfId="0"/>
    <xf numFmtId="164" fontId="6" fillId="6" borderId="1" pivotButton="0" quotePrefix="0" xfId="0"/>
    <xf numFmtId="164" fontId="6" fillId="5" borderId="1" pivotButton="0" quotePrefix="0" xfId="0"/>
    <xf numFmtId="165" fontId="4" fillId="5" borderId="1" pivotButton="0" quotePrefix="0" xfId="0"/>
    <xf numFmtId="164" fontId="4" fillId="6" borderId="1" pivotButton="0" quotePrefix="0" xfId="0"/>
    <xf numFmtId="164" fontId="4" fillId="5" borderId="1" pivotButton="0" quotePrefix="0" xfId="0"/>
    <xf numFmtId="165" fontId="4" fillId="6" borderId="1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AC75D5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D1B2E8"/>
      <rgbColor rgb="00FFCC99"/>
      <rgbColor rgb="003366FF"/>
      <rgbColor rgb="0033CCCC"/>
      <rgbColor rgb="0092D050"/>
      <rgbColor rgb="00FFC0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/>
              <a:t>Cash</a:t>
            </a:r>
            <a:r>
              <a:rPr lang="es-VE" baseline="0"/>
              <a:t xml:space="preserve"> Deployment</a:t>
            </a:r>
            <a:endParaRPr lang="es-VE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VE"/>
        </a:p>
      </txPr>
    </title>
    <plotArea>
      <layout/>
      <lineChart>
        <grouping val="stacked"/>
        <varyColors val="0"/>
        <ser>
          <idx val="0"/>
          <order val="0"/>
          <tx>
            <strRef>
              <f>'Año 1 escenario 1'!$B$52</f>
              <strCache>
                <ptCount val="1"/>
                <pt idx="0">
                  <v>Cash inicial mes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'Año 1 escenario 1'!$C$51:$N$51</f>
              <strCache>
                <ptCount val="12"/>
                <pt idx="0">
                  <v>Mes 1</v>
                </pt>
                <pt idx="1">
                  <v>Mes 2</v>
                </pt>
                <pt idx="2">
                  <v>Mes 3</v>
                </pt>
                <pt idx="3">
                  <v>Mes 4</v>
                </pt>
                <pt idx="4">
                  <v>Mes 5</v>
                </pt>
                <pt idx="5">
                  <v>Mes 6</v>
                </pt>
                <pt idx="6">
                  <v>Mes 7</v>
                </pt>
                <pt idx="7">
                  <v>Mes 8</v>
                </pt>
                <pt idx="8">
                  <v>Mes 9</v>
                </pt>
                <pt idx="9">
                  <v>Mes 10</v>
                </pt>
                <pt idx="10">
                  <v>Mes 11</v>
                </pt>
                <pt idx="11">
                  <v>Mes 12</v>
                </pt>
              </strCache>
            </strRef>
          </cat>
          <val>
            <numRef>
              <f>'Año 1 escenario 1'!$C$52:$N$52</f>
              <numCache>
                <formatCode>#,##0.00;[Red]\(#,##0.00\)</formatCode>
                <ptCount val="12"/>
                <pt idx="0">
                  <v>187152</v>
                </pt>
                <pt idx="1">
                  <v>183261</v>
                </pt>
                <pt idx="2">
                  <v>178003</v>
                </pt>
                <pt idx="3">
                  <v>175313</v>
                </pt>
                <pt idx="4">
                  <v>174879</v>
                </pt>
                <pt idx="5">
                  <v>176513</v>
                </pt>
                <pt idx="6">
                  <v>180403</v>
                </pt>
                <pt idx="7">
                  <v>186361</v>
                </pt>
                <pt idx="8">
                  <v>194387</v>
                </pt>
                <pt idx="9">
                  <v>204481</v>
                </pt>
                <pt idx="10">
                  <v>216643</v>
                </pt>
                <pt idx="11">
                  <v>230685</v>
                </pt>
              </numCache>
            </numRef>
          </val>
          <smooth val="0"/>
        </ser>
        <ser>
          <idx val="1"/>
          <order val="1"/>
          <tx>
            <strRef>
              <f>'Año 1 escenario 1'!$B$53</f>
              <strCache>
                <ptCount val="1"/>
                <pt idx="0">
                  <v>Cash final mes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'Año 1 escenario 1'!$C$51:$N$51</f>
              <strCache>
                <ptCount val="12"/>
                <pt idx="0">
                  <v>Mes 1</v>
                </pt>
                <pt idx="1">
                  <v>Mes 2</v>
                </pt>
                <pt idx="2">
                  <v>Mes 3</v>
                </pt>
                <pt idx="3">
                  <v>Mes 4</v>
                </pt>
                <pt idx="4">
                  <v>Mes 5</v>
                </pt>
                <pt idx="5">
                  <v>Mes 6</v>
                </pt>
                <pt idx="6">
                  <v>Mes 7</v>
                </pt>
                <pt idx="7">
                  <v>Mes 8</v>
                </pt>
                <pt idx="8">
                  <v>Mes 9</v>
                </pt>
                <pt idx="9">
                  <v>Mes 10</v>
                </pt>
                <pt idx="10">
                  <v>Mes 11</v>
                </pt>
                <pt idx="11">
                  <v>Mes 12</v>
                </pt>
              </strCache>
            </strRef>
          </cat>
          <val>
            <numRef>
              <f>'Año 1 escenario 1'!$C$53:$N$53</f>
              <numCache>
                <formatCode>#,##0.00;[Red]\(#,##0.00\)</formatCode>
                <ptCount val="12"/>
                <pt idx="0">
                  <v>183261</v>
                </pt>
                <pt idx="1">
                  <v>178003</v>
                </pt>
                <pt idx="2">
                  <v>175313</v>
                </pt>
                <pt idx="3">
                  <v>174879</v>
                </pt>
                <pt idx="4">
                  <v>176513</v>
                </pt>
                <pt idx="5">
                  <v>180403</v>
                </pt>
                <pt idx="6">
                  <v>186361</v>
                </pt>
                <pt idx="7">
                  <v>194387</v>
                </pt>
                <pt idx="8">
                  <v>204481</v>
                </pt>
                <pt idx="9">
                  <v>216643</v>
                </pt>
                <pt idx="10">
                  <v>230685</v>
                </pt>
                <pt idx="11">
                  <v>246231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51892096"/>
        <axId val="1358903824"/>
      </lineChart>
      <catAx>
        <axId val="19518920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s-VE"/>
          </a:p>
        </txPr>
        <crossAx val="1358903824"/>
        <crosses val="autoZero"/>
        <auto val="1"/>
        <lblAlgn val="ctr"/>
        <lblOffset val="100"/>
        <noMultiLvlLbl val="0"/>
      </catAx>
      <valAx>
        <axId val="1358903824"/>
        <scaling>
          <orientation val="minMax"/>
          <max val="50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;[Red]\(#,##0.0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/>
            </a:r>
            <a:endParaRPr lang="es-VE"/>
          </a:p>
        </txPr>
        <crossAx val="1951892096"/>
        <crosses val="autoZero"/>
        <crossBetween val="between"/>
        <majorUnit val="7500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VE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Gabriel Barrios</author>
  </authors>
  <commentList>
    <comment ref="C23" authorId="0" shapeId="0">
      <text>
        <t>Gabriel Barrios:
Este cálculo no lo entendí. De dónde viene? Qué estás estimando?</t>
      </text>
    </comment>
  </commentList>
</comments>
</file>

<file path=xl/comments/comment2.xml><?xml version="1.0" encoding="utf-8"?>
<comments xmlns="http://schemas.openxmlformats.org/spreadsheetml/2006/main">
  <authors>
    <author>Gabriel Barrios</author>
  </authors>
  <commentList>
    <comment ref="C23" authorId="0" shapeId="0">
      <text>
        <t>Gabriel Barrios:
Este cálculo no lo entendí. De dónde viene? Qué estás estimando?</t>
      </text>
    </comment>
  </commentList>
</comments>
</file>

<file path=xl/comments/comment3.xml><?xml version="1.0" encoding="utf-8"?>
<comments xmlns="http://schemas.openxmlformats.org/spreadsheetml/2006/main">
  <authors>
    <author>Gabriel Barrios</author>
  </authors>
  <commentList>
    <comment ref="C23" authorId="0" shapeId="0">
      <text>
        <t>Gabriel Barrios:
Este cálculo no lo entendí. De dónde viene? Qué estás estimando?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2</col>
      <colOff>8473</colOff>
      <row>56</row>
      <rowOff>5</rowOff>
    </from>
    <to>
      <col>7</col>
      <colOff>431799</colOff>
      <row>75</row>
      <rowOff>25399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xSplit="2" ySplit="9" topLeftCell="C87" activePane="bottomRight" state="frozen"/>
      <selection pane="topRight" activeCell="A1" sqref="A1"/>
      <selection pane="bottomLeft" activeCell="A1" sqref="A1"/>
      <selection pane="bottomRight" activeCell="G89" sqref="G89"/>
    </sheetView>
  </sheetViews>
  <sheetFormatPr baseColWidth="10" defaultColWidth="8.6640625" defaultRowHeight="13.2"/>
  <cols>
    <col width="3" customWidth="1" style="127" min="1" max="2"/>
    <col width="13" customWidth="1" style="127" min="3" max="3"/>
    <col width="56.5546875" customWidth="1" style="127" min="4" max="4"/>
    <col width="13.88671875" customWidth="1" style="127" min="5" max="5"/>
    <col width="17.33203125" customWidth="1" style="127" min="6" max="6"/>
    <col width="21.5546875" customWidth="1" style="127" min="7" max="7"/>
    <col width="11.5546875" customWidth="1" style="127" min="8" max="8"/>
    <col width="13" customWidth="1" style="127" min="9" max="10"/>
    <col width="14.77734375" customWidth="1" style="127" min="11" max="11"/>
    <col width="50.6640625" customWidth="1" style="127" min="12" max="12"/>
    <col width="56.109375" customWidth="1" style="127" min="13" max="13"/>
    <col width="10" customWidth="1" style="127" min="14" max="14"/>
    <col width="11" customWidth="1" style="127" min="15" max="15"/>
    <col width="8.6640625" customWidth="1" style="127" min="16" max="16384"/>
  </cols>
  <sheetData>
    <row r="1">
      <c r="C1" s="127" t="inlineStr">
        <is>
          <t>v4 (04-ago-2026) SAFE Lean 237.412 = Fase0 50.260 + burn 172.152 + reserva 15.000 | Day-D 187.152 | equity ~39,57% @600k | Esc.1 FCF +59.079 cash M12 246.231 | ARPF ~52</t>
        </is>
      </c>
    </row>
    <row r="2"/>
    <row r="3"/>
    <row r="4" ht="29.1" customHeight="1" s="44">
      <c r="C4" s="68" t="inlineStr">
        <is>
          <t xml:space="preserve">Zonix Pharma — Marketplace farmacéutico VE (piloto Valencia) </t>
        </is>
      </c>
    </row>
    <row r="5"/>
    <row r="8">
      <c r="C8" s="70" t="inlineStr">
        <is>
          <t>Descripción</t>
        </is>
      </c>
      <c r="E8" s="70" t="inlineStr">
        <is>
          <t>Cantidad Meses</t>
        </is>
      </c>
      <c r="F8" s="70" t="inlineStr">
        <is>
          <t>Monto Unitario/mes</t>
        </is>
      </c>
      <c r="G8" s="70" t="inlineStr">
        <is>
          <t>Total</t>
        </is>
      </c>
      <c r="H8" s="70" t="n"/>
      <c r="I8" s="70" t="n"/>
    </row>
    <row r="9">
      <c r="F9" s="114" t="n"/>
      <c r="G9" s="114" t="n"/>
      <c r="H9" s="114" t="n"/>
      <c r="I9" s="114" t="n"/>
    </row>
    <row r="10">
      <c r="C10" s="66" t="inlineStr">
        <is>
          <t>CONSTITUCIÓN DE LA EMPRESA (Zonix Pharma C.A.)</t>
        </is>
      </c>
      <c r="D10" s="46" t="n"/>
      <c r="E10" s="73" t="inlineStr">
        <is>
          <t>Cant.</t>
        </is>
      </c>
      <c r="F10" s="73" t="inlineStr">
        <is>
          <t>USD/u</t>
        </is>
      </c>
      <c r="G10" s="114" t="n"/>
      <c r="H10" s="114" t="n"/>
      <c r="I10" s="114" t="n"/>
      <c r="K10" s="74" t="inlineStr">
        <is>
          <t>RESUMEN INVERSIÓN LEAN (v3.9.3)</t>
        </is>
      </c>
    </row>
    <row r="11">
      <c r="C11" s="75" t="inlineStr">
        <is>
          <t>Registro Mercantil + acta constitutiva</t>
        </is>
      </c>
      <c r="D11" s="46" t="n"/>
      <c r="E11" s="160" t="n">
        <v>1</v>
      </c>
      <c r="F11" s="160" t="n">
        <v>1200</v>
      </c>
      <c r="G11" s="161">
        <f>E11*F11</f>
        <v/>
      </c>
      <c r="H11" s="162">
        <f>IF(G11=0,"",G11/G127)</f>
        <v/>
      </c>
      <c r="I11" s="79" t="n"/>
      <c r="K11" s="80" t="inlineStr">
        <is>
          <t>One-shots (legal+intro+HQ CapEx incl. alquiler Fase 0)</t>
        </is>
      </c>
      <c r="M11" s="160">
        <f>G91</f>
        <v/>
      </c>
      <c r="O11" s="163">
        <f>G18+G33+G81</f>
        <v/>
      </c>
    </row>
    <row r="12">
      <c r="C12" s="75" t="inlineStr">
        <is>
          <t>SENIAT — inscripción / trámites RIF</t>
        </is>
      </c>
      <c r="D12" s="46" t="n"/>
      <c r="E12" s="160" t="n">
        <v>1</v>
      </c>
      <c r="F12" s="160" t="n">
        <v>600</v>
      </c>
      <c r="G12" s="160">
        <f>E12*F12</f>
        <v/>
      </c>
      <c r="H12" s="164">
        <f>IF(G12=0,"",G12/G127)</f>
        <v/>
      </c>
      <c r="I12" s="79" t="n"/>
      <c r="K12" s="80" t="inlineStr">
        <is>
          <t>Fase 0 operativa (MO+mkt+transporte)</t>
        </is>
      </c>
      <c r="M12" s="165">
        <f>G52+G39+G62</f>
        <v/>
      </c>
      <c r="O12" s="163" t="n"/>
    </row>
    <row r="13">
      <c r="C13" s="75" t="inlineStr">
        <is>
          <t>Licencia / permisos municipales HQ</t>
        </is>
      </c>
      <c r="D13" s="46" t="n"/>
      <c r="E13" s="160" t="n">
        <v>1</v>
      </c>
      <c r="F13" s="160" t="n">
        <v>1500</v>
      </c>
      <c r="G13" s="160">
        <f>E13*F13</f>
        <v/>
      </c>
      <c r="H13" s="162">
        <f>IF(G13=0,"",G13/G127)</f>
        <v/>
      </c>
      <c r="I13" s="84" t="inlineStr">
        <is>
          <t>Notas / En ESTA</t>
        </is>
      </c>
      <c r="K13" s="80" t="inlineStr">
        <is>
          <t>Fase 0 total (T+0→Day-D)</t>
        </is>
      </c>
      <c r="M13" s="165">
        <f>G87</f>
        <v/>
      </c>
      <c r="N13" s="166">
        <f>M13-M11-M12</f>
        <v/>
      </c>
      <c r="O13" s="163">
        <f>M13-M11-G39-G62</f>
        <v/>
      </c>
    </row>
    <row r="14">
      <c r="C14" s="75" t="inlineStr">
        <is>
          <t>Permiso bomberos (local operativo)</t>
        </is>
      </c>
      <c r="D14" s="46" t="n"/>
      <c r="E14" s="160" t="n">
        <v>1</v>
      </c>
      <c r="F14" s="160" t="n">
        <v>1100</v>
      </c>
      <c r="G14" s="160">
        <f>E14*F14</f>
        <v/>
      </c>
      <c r="H14" s="162">
        <f>IF(G14=0,"",G14/G127)</f>
        <v/>
      </c>
      <c r="I14" s="79" t="n"/>
      <c r="K14" s="80" t="inlineStr">
        <is>
          <t>Caja al Day-D (inicio M1)</t>
        </is>
      </c>
      <c r="M14" s="165">
        <f>G89</f>
        <v/>
      </c>
      <c r="O14" s="163" t="n"/>
    </row>
    <row r="15">
      <c r="C15" s="75" t="inlineStr">
        <is>
          <t>Apertura cuenta bancaria empresa</t>
        </is>
      </c>
      <c r="D15" s="46" t="n"/>
      <c r="E15" s="160" t="n">
        <v>1</v>
      </c>
      <c r="F15" s="160" t="n">
        <v>100</v>
      </c>
      <c r="G15" s="160">
        <f>E15*F15</f>
        <v/>
      </c>
      <c r="H15" s="162">
        <f>IF(G15=0,"",G15/G127)</f>
        <v/>
      </c>
      <c r="I15" s="79" t="n"/>
      <c r="K15" s="80" t="inlineStr">
        <is>
          <t>Burn 12 meses (M1–M12)</t>
        </is>
      </c>
      <c r="M15" s="160">
        <f>G125</f>
        <v/>
      </c>
      <c r="O15" s="163" t="n"/>
    </row>
    <row r="16">
      <c r="C16" s="75" t="inlineStr">
        <is>
          <t>Sello digital + factura digital SENIAT</t>
        </is>
      </c>
      <c r="D16" s="46" t="n"/>
      <c r="E16" s="160" t="n">
        <v>1</v>
      </c>
      <c r="F16" s="160" t="n">
        <v>200</v>
      </c>
      <c r="G16" s="160">
        <f>E16*F16</f>
        <v/>
      </c>
      <c r="H16" s="162">
        <f>IF(G16=0,"",G16/G127)</f>
        <v/>
      </c>
      <c r="I16" s="79" t="n"/>
      <c r="K16" s="80" t="inlineStr">
        <is>
          <t>Reserva caja</t>
        </is>
      </c>
      <c r="M16" s="160">
        <f>G126</f>
        <v/>
      </c>
      <c r="O16" s="163" t="n"/>
    </row>
    <row r="17">
      <c r="C17" s="75" t="inlineStr">
        <is>
          <t>Registro marca SAPI (paralelo)</t>
        </is>
      </c>
      <c r="D17" s="46" t="n"/>
      <c r="E17" s="160" t="n">
        <v>1</v>
      </c>
      <c r="F17" s="160" t="n">
        <v>350</v>
      </c>
      <c r="G17" s="160">
        <f>E17*F17</f>
        <v/>
      </c>
      <c r="H17" s="162">
        <f>IF(G17=0,"",G17/G127)</f>
        <v/>
      </c>
      <c r="I17" s="79" t="n"/>
      <c r="K17" s="80" t="inlineStr">
        <is>
          <t>TOTAL capital SAFE</t>
        </is>
      </c>
      <c r="M17" s="167">
        <f>G127</f>
        <v/>
      </c>
      <c r="N17" s="166">
        <f>M13+M15+M16</f>
        <v/>
      </c>
      <c r="O17" s="163" t="n"/>
    </row>
    <row r="18">
      <c r="C18" s="168" t="inlineStr">
        <is>
          <t>Subtotal constitución empresa</t>
        </is>
      </c>
      <c r="D18" s="48" t="n"/>
      <c r="E18" s="168" t="n"/>
      <c r="F18" s="168" t="n"/>
      <c r="G18" s="168">
        <f>SUM(G11:G17)</f>
        <v/>
      </c>
      <c r="H18" s="169">
        <f>IF(G18=0,"",G18/G127)</f>
        <v/>
      </c>
      <c r="I18" s="168" t="n"/>
      <c r="K18" s="80" t="inlineStr">
        <is>
          <t>SAFE cap ref. → equity % [PENDIENTE decisión cap]</t>
        </is>
      </c>
      <c r="M18" s="170">
        <f>M17/600000</f>
        <v/>
      </c>
      <c r="O18" s="163" t="n"/>
    </row>
    <row r="19">
      <c r="O19" s="163" t="n"/>
    </row>
    <row r="20">
      <c r="C20" s="92" t="inlineStr">
        <is>
          <t>Costos legales de constitución C.A. + local HQ (referencia real VE). No incluye permisos de farmacia aliada ni operación de medicamentos. Pack documental conservador 1.150–1.450 en ESTRUCTURA_LEGAL §1.4 — validar con abogado [PENDIENTE].</t>
        </is>
      </c>
      <c r="D20" s="46" t="n"/>
      <c r="E20" s="46" t="n"/>
      <c r="F20" s="46" t="n"/>
      <c r="G20" s="46" t="n"/>
      <c r="H20" s="46" t="n"/>
      <c r="I20" s="46" t="n"/>
      <c r="K20" s="93" t="inlineStr">
        <is>
          <t>Ref. mensual post-Day-D</t>
        </is>
      </c>
      <c r="O20" s="163" t="n"/>
    </row>
    <row r="21">
      <c r="K21" s="80" t="inlineStr">
        <is>
          <t>MO operativa (subtotal)</t>
        </is>
      </c>
      <c r="M21" s="165">
        <f>G108</f>
        <v/>
      </c>
    </row>
    <row r="22">
      <c r="C22" s="92" t="inlineStr">
        <is>
          <t>MATERIA PRIMA: No aplica — ZonixPharma es servicio tecnológico (marketplace). Equivalente digital: SMS OTP, Pusher, Maps, hosting → fila «Hosting + SaaS + Firebase OTP» en ESTA SI VALE (~154 USD/mes) + contingencia en burn.</t>
        </is>
      </c>
      <c r="D22" s="46" t="n"/>
      <c r="E22" s="46" t="n"/>
      <c r="F22" s="46" t="n"/>
      <c r="G22" s="46" t="n"/>
      <c r="H22" s="46" t="n"/>
      <c r="I22" s="46" t="n"/>
      <c r="K22" s="80" t="inlineStr">
        <is>
          <t>Marketing mensual (subtotal)</t>
        </is>
      </c>
      <c r="M22" s="165">
        <f>G121</f>
        <v/>
      </c>
    </row>
    <row r="23" ht="15" customHeight="1" s="44">
      <c r="K23" s="94" t="inlineStr">
        <is>
          <t>v3.9.3: amueblado one-shot; alquiler en HQ one-shots (750/mes en timing); sin ops recurrentes Fase 0. Identidad categorías=timing.</t>
        </is>
      </c>
    </row>
    <row r="24">
      <c r="C24" s="66" t="inlineStr">
        <is>
          <t>INTRODUCCIÓN AL MERCADO / DEMO — Lean (ancla Fase 0)</t>
        </is>
      </c>
      <c r="D24" s="46" t="n"/>
      <c r="E24" s="70" t="inlineStr">
        <is>
          <t xml:space="preserve">Cantidad </t>
        </is>
      </c>
      <c r="F24" s="70" t="inlineStr">
        <is>
          <t>Monto Unitario</t>
        </is>
      </c>
      <c r="G24" s="70" t="inlineStr">
        <is>
          <t>Total</t>
        </is>
      </c>
      <c r="H24" s="70" t="n"/>
      <c r="I24" s="70" t="n"/>
    </row>
    <row r="25">
      <c r="C25" s="75" t="inlineStr">
        <is>
          <t>Website landing + dominio + hosting</t>
        </is>
      </c>
      <c r="D25" s="46" t="n"/>
      <c r="E25" s="160" t="n">
        <v>1</v>
      </c>
      <c r="F25" s="160" t="n">
        <v>800</v>
      </c>
      <c r="G25" s="160">
        <f>E25*F25</f>
        <v/>
      </c>
      <c r="H25" s="162">
        <f>IF(G25=0,"",G25/G127)</f>
        <v/>
      </c>
      <c r="I25" s="79" t="n"/>
    </row>
    <row r="26">
      <c r="C26" s="95" t="inlineStr">
        <is>
          <t>Brochures y material impreso B2B</t>
        </is>
      </c>
      <c r="D26" s="46" t="n"/>
      <c r="E26" s="160" t="n">
        <v>1</v>
      </c>
      <c r="F26" s="160" t="n">
        <v>1000</v>
      </c>
      <c r="G26" s="160">
        <f>E26*F26</f>
        <v/>
      </c>
      <c r="H26" s="162">
        <f>IF(G26=0,"",G26/G127)</f>
        <v/>
      </c>
      <c r="I26" s="79" t="n"/>
      <c r="J26" s="127" t="inlineStr">
        <is>
          <t>definir</t>
        </is>
      </c>
    </row>
    <row r="27">
      <c r="C27" s="75" t="inlineStr">
        <is>
          <t>Tablets demo farmacia</t>
        </is>
      </c>
      <c r="D27" s="46" t="n"/>
      <c r="E27" s="160" t="n">
        <v>4</v>
      </c>
      <c r="F27" s="160" t="n">
        <v>350</v>
      </c>
      <c r="G27" s="160">
        <f>E27*F27</f>
        <v/>
      </c>
      <c r="H27" s="162">
        <f>IF(G27=0,"",G27/G127)</f>
        <v/>
      </c>
      <c r="I27" s="79" t="n"/>
    </row>
    <row r="28">
      <c r="C28" s="75" t="inlineStr">
        <is>
          <t>Visitas comerciales pre-Day-D</t>
        </is>
      </c>
      <c r="D28" s="46" t="n"/>
      <c r="E28" s="160" t="n">
        <v>1</v>
      </c>
      <c r="F28" s="160" t="n">
        <v>500</v>
      </c>
      <c r="G28" s="160">
        <f>E28*F28</f>
        <v/>
      </c>
      <c r="H28" s="162">
        <f>IF(G28=0,"",G28/G127)</f>
        <v/>
      </c>
      <c r="I28" s="79" t="n"/>
    </row>
    <row r="29">
      <c r="C29" s="96" t="inlineStr">
        <is>
          <t>4x sales / Fase previa — ver MO Fase 0 (no duplicar)</t>
        </is>
      </c>
      <c r="D29" s="50" t="n"/>
      <c r="E29" s="160" t="n">
        <v>0</v>
      </c>
      <c r="F29" s="160" t="n">
        <v>0</v>
      </c>
      <c r="G29" s="160" t="n">
        <v>0</v>
      </c>
      <c r="H29" s="171" t="inlineStr">
        <is>
          <t>arreglar</t>
        </is>
      </c>
      <c r="I29" s="79" t="n"/>
    </row>
    <row r="30">
      <c r="C30" s="75" t="inlineStr">
        <is>
          <t>Reservas operativas primer mes</t>
        </is>
      </c>
      <c r="D30" s="46" t="n"/>
      <c r="E30" s="160" t="n">
        <v>1</v>
      </c>
      <c r="F30" s="160" t="n">
        <v>1000</v>
      </c>
      <c r="G30" s="160">
        <f>E30*F30</f>
        <v/>
      </c>
      <c r="H30" s="162">
        <f>IF(G30=0,"",G30/G127)</f>
        <v/>
      </c>
      <c r="I30" s="79" t="n"/>
    </row>
    <row r="31">
      <c r="C31" s="75" t="inlineStr">
        <is>
          <t>Tarjetas presentación</t>
        </is>
      </c>
      <c r="D31" s="46" t="n"/>
      <c r="E31" s="160" t="n">
        <v>4</v>
      </c>
      <c r="F31" s="160" t="n">
        <v>35</v>
      </c>
      <c r="G31" s="160">
        <f>E31*F31</f>
        <v/>
      </c>
      <c r="H31" s="171" t="inlineStr">
        <is>
          <t>arreglar</t>
        </is>
      </c>
      <c r="I31" s="79" t="n"/>
    </row>
    <row r="32" ht="15" customHeight="1" s="44">
      <c r="C32" s="75" t="inlineStr">
        <is>
          <t>Video pitch B2B farmacia (one-shot)</t>
        </is>
      </c>
      <c r="D32" s="46" t="n"/>
      <c r="E32" s="160" t="n">
        <v>1</v>
      </c>
      <c r="F32" s="160" t="n">
        <v>800</v>
      </c>
      <c r="G32" s="160">
        <f>E32*F32</f>
        <v/>
      </c>
      <c r="H32" s="162">
        <f>IF(G32=0,"",G32/G127)</f>
        <v/>
      </c>
      <c r="I32" s="79" t="n"/>
    </row>
    <row r="33" ht="15" customHeight="1" s="44">
      <c r="C33" s="168" t="inlineStr">
        <is>
          <t>Subtotal intro mercado Lean</t>
        </is>
      </c>
      <c r="D33" s="48" t="n"/>
      <c r="E33" s="168" t="n"/>
      <c r="F33" s="168" t="n"/>
      <c r="G33" s="168">
        <f>SUM(G25:G32)</f>
        <v/>
      </c>
      <c r="H33" s="169">
        <f>IF(G33=0,"",G33/G127)</f>
        <v/>
      </c>
      <c r="I33" s="168" t="n"/>
    </row>
    <row r="35">
      <c r="C35" s="66" t="inlineStr">
        <is>
          <t>MARKETING PRE-LANZAMIENTO — Lean (3 meses, ancla)</t>
        </is>
      </c>
      <c r="D35" s="46" t="n"/>
    </row>
    <row r="36">
      <c r="C36" s="92" t="inlineStr">
        <is>
          <t>Meta Ads pre-Day-D</t>
        </is>
      </c>
      <c r="D36" s="46" t="n"/>
      <c r="E36" s="165" t="n">
        <v>3</v>
      </c>
      <c r="F36" s="165" t="n">
        <v>400</v>
      </c>
      <c r="G36" s="165">
        <f>E36*F36</f>
        <v/>
      </c>
      <c r="H36" s="172">
        <f>IF(G36=0,"",G36/G127)</f>
        <v/>
      </c>
    </row>
    <row r="37">
      <c r="C37" s="92" t="inlineStr">
        <is>
          <t>Material POP / señalética</t>
        </is>
      </c>
      <c r="D37" s="46" t="n"/>
      <c r="E37" s="165" t="n">
        <v>1</v>
      </c>
      <c r="F37" s="165" t="n">
        <v>600</v>
      </c>
      <c r="G37" s="165">
        <f>E37*F37</f>
        <v/>
      </c>
      <c r="H37" s="172">
        <f>IF(G37=0,"",G37/G127)</f>
        <v/>
      </c>
    </row>
    <row r="38" ht="15" customHeight="1" s="44">
      <c r="C38" s="92" t="inlineStr">
        <is>
          <t>Demos B2B adicionales</t>
        </is>
      </c>
      <c r="D38" s="46" t="n"/>
      <c r="E38" s="165" t="n">
        <v>1</v>
      </c>
      <c r="F38" s="165" t="n">
        <v>450</v>
      </c>
      <c r="G38" s="165">
        <f>E38*F38</f>
        <v/>
      </c>
      <c r="H38" s="172">
        <f>IF(G38=0,"",G38/G127)</f>
        <v/>
      </c>
    </row>
    <row r="39" ht="15" customHeight="1" s="44">
      <c r="C39" s="168" t="inlineStr">
        <is>
          <t>Subtotal marketing pre-lanzamiento Lean</t>
        </is>
      </c>
      <c r="D39" s="48" t="n"/>
      <c r="E39" s="168" t="n"/>
      <c r="F39" s="168" t="n"/>
      <c r="G39" s="168">
        <f>SUM(G36:G38)</f>
        <v/>
      </c>
      <c r="H39" s="169">
        <f>IF(G39=0,"",G39/G127)</f>
        <v/>
      </c>
      <c r="I39" s="168" t="n"/>
    </row>
    <row r="41">
      <c r="C41" s="66" t="inlineStr">
        <is>
          <t>MANO DE OBRA FASE 0 (3 meses — incluida en Fase 0, no duplicar en one-shots)</t>
        </is>
      </c>
      <c r="D41" s="46" t="n"/>
    </row>
    <row r="42">
      <c r="C42" s="92" t="inlineStr">
        <is>
          <t>4× Sales bootstrap (350 c/u) — sueldos bajo AVGH; validar contratos [PENDIENTE]. Tarifas mensuales × 3 meses pre-Day-D. Comisiones Sales: $40/firma (estimado en ESTA, no duplicado aquí).</t>
        </is>
      </c>
      <c r="D42" s="46" t="n"/>
      <c r="E42" s="46" t="n"/>
      <c r="F42" s="46" t="n"/>
      <c r="G42" s="46" t="n"/>
      <c r="H42" s="46" t="n"/>
      <c r="I42" s="46" t="n"/>
    </row>
    <row r="44">
      <c r="C44" s="92" t="inlineStr">
        <is>
          <t>CEO (1000/mes)</t>
        </is>
      </c>
      <c r="D44" s="46" t="n"/>
      <c r="E44" s="165" t="n">
        <v>3</v>
      </c>
      <c r="F44" s="165" t="n">
        <v>1000</v>
      </c>
      <c r="G44" s="165" t="n">
        <v>3000</v>
      </c>
      <c r="H44" s="172">
        <f>IF(G44=0,"",G44/G127)</f>
        <v/>
      </c>
    </row>
    <row r="45">
      <c r="C45" s="92" t="inlineStr">
        <is>
          <t>Founder CEO/CTO (1000/mes)</t>
        </is>
      </c>
      <c r="D45" s="46" t="n"/>
      <c r="E45" s="165" t="n">
        <v>3</v>
      </c>
      <c r="F45" s="165" t="n">
        <v>1000</v>
      </c>
      <c r="G45" s="165" t="n">
        <v>3000</v>
      </c>
      <c r="H45" s="171" t="inlineStr">
        <is>
          <t>arreglar</t>
        </is>
      </c>
    </row>
    <row r="46">
      <c r="C46" s="92" t="inlineStr">
        <is>
          <t>Co-CEO Head Sales&amp;Ops (1000/mes)</t>
        </is>
      </c>
      <c r="D46" s="46" t="n"/>
      <c r="E46" s="165" t="n">
        <v>3</v>
      </c>
      <c r="F46" s="165" t="n">
        <v>1000</v>
      </c>
      <c r="G46" s="165" t="n">
        <v>3000</v>
      </c>
      <c r="H46" s="172">
        <f>IF(G46=0,"",G46/G127)</f>
        <v/>
      </c>
    </row>
    <row r="47">
      <c r="C47" s="92" t="inlineStr">
        <is>
          <t>Dev junior (Flutter/Laravel) (1000/mes)</t>
        </is>
      </c>
      <c r="D47" s="46" t="n"/>
      <c r="E47" s="165" t="n">
        <v>3</v>
      </c>
      <c r="F47" s="165" t="n">
        <v>1000</v>
      </c>
      <c r="G47" s="165" t="n">
        <v>3000</v>
      </c>
      <c r="H47" s="172">
        <f>IF(G47=0,"",G47/G127)</f>
        <v/>
      </c>
    </row>
    <row r="48">
      <c r="C48" s="92" t="inlineStr">
        <is>
          <t>4× Sales B2B (350/mes c/u base)</t>
        </is>
      </c>
      <c r="D48" s="46" t="n"/>
      <c r="E48" s="165" t="n">
        <v>3</v>
      </c>
      <c r="F48" s="165" t="n">
        <v>1400</v>
      </c>
      <c r="G48" s="165" t="n">
        <v>4200</v>
      </c>
      <c r="H48" s="172">
        <f>IF(G48=0,"",G48/G127)</f>
        <v/>
      </c>
    </row>
    <row r="49">
      <c r="C49" s="92" t="inlineStr">
        <is>
          <t>CS + Community Manager (500/mes)</t>
        </is>
      </c>
      <c r="D49" s="46" t="n"/>
      <c r="E49" s="165" t="n">
        <v>3</v>
      </c>
      <c r="F49" s="165" t="n">
        <v>500</v>
      </c>
      <c r="G49" s="165" t="n">
        <v>1500</v>
      </c>
      <c r="H49" s="172">
        <f>IF(G49=0,"",G49/G127)</f>
        <v/>
      </c>
    </row>
    <row r="50">
      <c r="C50" s="92" t="inlineStr">
        <is>
          <t>Herramientas IA (425/mes)</t>
        </is>
      </c>
      <c r="D50" s="46" t="n"/>
      <c r="E50" s="165" t="n">
        <v>3</v>
      </c>
      <c r="F50" s="165" t="n">
        <v>425</v>
      </c>
      <c r="G50" s="165" t="n">
        <v>1275</v>
      </c>
      <c r="H50" s="172">
        <f>IF(G50=0,"",G50/G127)</f>
        <v/>
      </c>
    </row>
    <row r="51">
      <c r="C51" s="92" t="inlineStr">
        <is>
          <t>Contador + Abogado (800/mes)</t>
        </is>
      </c>
      <c r="D51" s="46" t="n"/>
      <c r="E51" s="165" t="n">
        <v>3</v>
      </c>
      <c r="F51" s="165" t="n">
        <v>800</v>
      </c>
      <c r="G51" s="165" t="n">
        <v>2400</v>
      </c>
      <c r="H51" s="172">
        <f>IF(G51=0,"",G51/G127)</f>
        <v/>
      </c>
      <c r="L51" s="116" t="inlineStr">
        <is>
          <t>Gasto Mensual Fase 0</t>
        </is>
      </c>
    </row>
    <row r="52" ht="14.4" customHeight="1" s="44">
      <c r="C52" s="168" t="inlineStr">
        <is>
          <t>Subtotal mano de obra Fase 0 (3 meses)</t>
        </is>
      </c>
      <c r="D52" s="48" t="n"/>
      <c r="E52" s="168" t="n"/>
      <c r="F52" s="168" t="n"/>
      <c r="G52" s="168">
        <f>SUM(G44:G51)</f>
        <v/>
      </c>
      <c r="H52" s="169">
        <f>IF(G52=0,"",G52/G127)</f>
        <v/>
      </c>
      <c r="I52" s="168" t="n"/>
      <c r="L52" s="173">
        <f>G52/3</f>
        <v/>
      </c>
      <c r="M52" s="174" t="n"/>
    </row>
    <row r="54">
      <c r="C54" s="66" t="inlineStr">
        <is>
          <t>TRANSPORTE, MOVILIDAD B2B, BRANDING (referencia desglose)</t>
        </is>
      </c>
      <c r="D54" s="46" t="n"/>
    </row>
    <row r="55">
      <c r="C55" s="92" t="n"/>
      <c r="D55" s="46" t="n"/>
      <c r="E55" s="46" t="n"/>
      <c r="F55" s="46" t="n"/>
      <c r="G55" s="46" t="n"/>
      <c r="H55" s="46" t="n"/>
      <c r="I55" s="46" t="n"/>
    </row>
    <row r="57">
      <c r="C57" s="92" t="inlineStr">
        <is>
          <t>Visitas comerciales Valencia (combustible / terceros)</t>
        </is>
      </c>
      <c r="D57" s="46" t="n"/>
      <c r="E57" s="165" t="n">
        <v>5</v>
      </c>
      <c r="F57" s="165" t="n">
        <v>200</v>
      </c>
      <c r="G57" s="165">
        <f>E57*F57</f>
        <v/>
      </c>
      <c r="H57" s="172">
        <f>IF(G57=0,"",G57/G127)</f>
        <v/>
      </c>
    </row>
    <row r="58">
      <c r="C58" s="92" t="inlineStr">
        <is>
          <t>Tablets — ver Intro (no duplicar)</t>
        </is>
      </c>
      <c r="D58" s="46" t="n"/>
      <c r="E58" s="165" t="n">
        <v>0</v>
      </c>
      <c r="F58" s="165" t="n">
        <v>0</v>
      </c>
      <c r="G58" s="165" t="n">
        <v>0</v>
      </c>
      <c r="H58" s="171" t="inlineStr">
        <is>
          <t>arreglar</t>
        </is>
      </c>
    </row>
    <row r="59">
      <c r="C59" s="92" t="inlineStr">
        <is>
          <t>Logística material demo (POP)</t>
        </is>
      </c>
      <c r="D59" s="46" t="n"/>
      <c r="E59" s="165" t="n">
        <v>1</v>
      </c>
      <c r="F59" s="165" t="n">
        <v>2500</v>
      </c>
      <c r="G59" s="165">
        <f>E59*F59</f>
        <v/>
      </c>
      <c r="H59" s="171" t="inlineStr">
        <is>
          <t>arreglar</t>
        </is>
      </c>
    </row>
    <row r="60">
      <c r="C60" s="92" t="inlineStr">
        <is>
          <t>Camisa, gorras, otros</t>
        </is>
      </c>
      <c r="D60" s="46" t="n"/>
      <c r="E60" s="165" t="n">
        <v>12</v>
      </c>
      <c r="F60" s="165" t="n">
        <v>35</v>
      </c>
      <c r="G60" s="165">
        <f>E60*F60</f>
        <v/>
      </c>
      <c r="H60" s="171" t="inlineStr">
        <is>
          <t>arreglar</t>
        </is>
      </c>
    </row>
    <row r="61" ht="15" customHeight="1" s="44">
      <c r="C61" s="92" t="inlineStr">
        <is>
          <t>Gira medios / eventos farmacia (opcional Lean)</t>
        </is>
      </c>
      <c r="D61" s="46" t="n"/>
      <c r="E61" s="165" t="n">
        <v>1</v>
      </c>
      <c r="F61" s="165" t="n">
        <v>350</v>
      </c>
      <c r="G61" s="165">
        <f>E61*F61</f>
        <v/>
      </c>
      <c r="H61" s="172">
        <f>IF(G61=0,"",G61/G127)</f>
        <v/>
      </c>
    </row>
    <row r="62" ht="15" customHeight="1" s="44">
      <c r="C62" s="168" t="inlineStr">
        <is>
          <t>Subtotal transporte referencia Fase 0</t>
        </is>
      </c>
      <c r="D62" s="48" t="n"/>
      <c r="E62" s="168" t="n"/>
      <c r="F62" s="168" t="n"/>
      <c r="G62" s="168">
        <f>SUM(G57:G61)</f>
        <v/>
      </c>
      <c r="H62" s="169">
        <f>IF(G62=0,"",G62/G127)</f>
        <v/>
      </c>
      <c r="I62" s="168" t="n"/>
    </row>
    <row r="64">
      <c r="C64" s="66" t="inlineStr">
        <is>
          <t>HQ Y CAPEX — Lean (ancla one-shots)</t>
        </is>
      </c>
      <c r="D64" s="46" t="n"/>
      <c r="E64" s="70" t="inlineStr">
        <is>
          <t>Cantidad</t>
        </is>
      </c>
      <c r="F64" s="70" t="inlineStr">
        <is>
          <t>Monto Unitario</t>
        </is>
      </c>
      <c r="G64" s="70" t="inlineStr">
        <is>
          <t>Total</t>
        </is>
      </c>
      <c r="K64" s="116" t="inlineStr">
        <is>
          <t>1 mes OPEX</t>
        </is>
      </c>
      <c r="L64" s="117" t="inlineStr">
        <is>
          <t>Esta es info que me sirve para entender cuanto es 1 mes de operaciones y que items incluye</t>
        </is>
      </c>
    </row>
    <row r="65" ht="13.8" customHeight="1" s="44">
      <c r="C65" s="75" t="inlineStr">
        <is>
          <t>Amueblado HQ (escritorios, sillas y otros — one-shot)</t>
        </is>
      </c>
      <c r="D65" s="46" t="n"/>
      <c r="E65" s="160" t="n">
        <v>1</v>
      </c>
      <c r="F65" s="160" t="n">
        <v>2250</v>
      </c>
      <c r="G65" s="160">
        <f>E65*F65</f>
        <v/>
      </c>
      <c r="H65" s="172">
        <f>IF(G65=0,"",G65/G127)</f>
        <v/>
      </c>
      <c r="K65" s="175">
        <f>L52+F78+(G39/3)</f>
        <v/>
      </c>
      <c r="L65" s="176" t="n"/>
    </row>
    <row r="66">
      <c r="C66" s="75" t="inlineStr">
        <is>
          <t>Adecuación HQ (pintura, señalética)</t>
        </is>
      </c>
      <c r="D66" s="46" t="n"/>
      <c r="E66" s="160" t="n">
        <v>1</v>
      </c>
      <c r="F66" s="160" t="n">
        <v>1000</v>
      </c>
      <c r="G66" s="160">
        <f>E66*F66</f>
        <v/>
      </c>
      <c r="H66" s="172">
        <f>IF(G66=0,"",G66/G127)</f>
        <v/>
      </c>
    </row>
    <row r="67">
      <c r="C67" s="75" t="inlineStr">
        <is>
          <t>PC recepción / ventas</t>
        </is>
      </c>
      <c r="D67" s="46" t="n"/>
      <c r="E67" s="160" t="n">
        <v>1</v>
      </c>
      <c r="F67" s="160" t="n">
        <v>800</v>
      </c>
      <c r="G67" s="160">
        <f>E67*F67</f>
        <v/>
      </c>
      <c r="H67" s="172">
        <f>IF(G67=0,"",G67/G127)</f>
        <v/>
      </c>
    </row>
    <row r="68">
      <c r="C68" s="75" t="inlineStr">
        <is>
          <t>PC administración</t>
        </is>
      </c>
      <c r="D68" s="46" t="n"/>
      <c r="E68" s="160" t="n">
        <v>1</v>
      </c>
      <c r="F68" s="160" t="n">
        <v>850</v>
      </c>
      <c r="G68" s="160">
        <f>E68*F68</f>
        <v/>
      </c>
      <c r="H68" s="172">
        <f>IF(G68=0,"",G68/G127)</f>
        <v/>
      </c>
    </row>
    <row r="69">
      <c r="C69" s="75" t="inlineStr">
        <is>
          <t>PC desarrollo</t>
        </is>
      </c>
      <c r="D69" s="46" t="n"/>
      <c r="E69" s="160" t="n">
        <v>2</v>
      </c>
      <c r="F69" s="160" t="n">
        <v>950</v>
      </c>
      <c r="G69" s="160">
        <f>E69*F69</f>
        <v/>
      </c>
      <c r="H69" s="172">
        <f>IF(G69=0,"",G69/G127)</f>
        <v/>
      </c>
    </row>
    <row r="70">
      <c r="C70" s="75" t="inlineStr">
        <is>
          <t>PC puesto flexible</t>
        </is>
      </c>
      <c r="D70" s="46" t="n"/>
      <c r="E70" s="160" t="n">
        <v>1</v>
      </c>
      <c r="F70" s="160" t="n">
        <v>1100</v>
      </c>
      <c r="G70" s="160">
        <f>E70*F70</f>
        <v/>
      </c>
      <c r="H70" s="172">
        <f>IF(G70=0,"",G70/G127)</f>
        <v/>
      </c>
    </row>
    <row r="71">
      <c r="C71" s="75" t="inlineStr">
        <is>
          <t>Cafetera</t>
        </is>
      </c>
      <c r="D71" s="46" t="n"/>
      <c r="E71" s="177" t="n">
        <v>1</v>
      </c>
      <c r="F71" s="177" t="n">
        <v>75</v>
      </c>
      <c r="G71" s="177">
        <f>E71*F71</f>
        <v/>
      </c>
      <c r="H71" s="178" t="inlineStr">
        <is>
          <t>arreglar</t>
        </is>
      </c>
    </row>
    <row r="72">
      <c r="C72" s="75" t="inlineStr">
        <is>
          <t>Filtro de Agua</t>
        </is>
      </c>
      <c r="D72" s="46" t="n"/>
      <c r="E72" s="177" t="n">
        <v>1</v>
      </c>
      <c r="F72" s="177" t="n">
        <v>125</v>
      </c>
      <c r="G72" s="177">
        <f>E72*F72</f>
        <v/>
      </c>
      <c r="H72" s="178" t="inlineStr">
        <is>
          <t>arreglar</t>
        </is>
      </c>
    </row>
    <row r="73">
      <c r="C73" s="75" t="inlineStr">
        <is>
          <t>Microondas</t>
        </is>
      </c>
      <c r="D73" s="46" t="n"/>
      <c r="E73" s="177" t="n">
        <v>1</v>
      </c>
      <c r="F73" s="177" t="n">
        <v>75</v>
      </c>
      <c r="G73" s="177">
        <f>E73*F73</f>
        <v/>
      </c>
      <c r="H73" s="178" t="inlineStr">
        <is>
          <t>arreglar</t>
        </is>
      </c>
    </row>
    <row r="74">
      <c r="C74" s="75" t="inlineStr">
        <is>
          <t>Vasos y Tazas</t>
        </is>
      </c>
      <c r="D74" s="46" t="n"/>
      <c r="E74" s="177" t="n">
        <v>1</v>
      </c>
      <c r="F74" s="177" t="n">
        <v>50</v>
      </c>
      <c r="G74" s="177">
        <f>E74*F74</f>
        <v/>
      </c>
      <c r="H74" s="178" t="inlineStr">
        <is>
          <t>arreglar</t>
        </is>
      </c>
    </row>
    <row r="75">
      <c r="C75" s="101" t="inlineStr">
        <is>
          <t>Impresora</t>
        </is>
      </c>
      <c r="D75" s="46" t="n"/>
      <c r="E75" s="177" t="n">
        <v>1</v>
      </c>
      <c r="F75" s="177" t="n">
        <v>650</v>
      </c>
      <c r="G75" s="177">
        <f>E75*F75</f>
        <v/>
      </c>
      <c r="H75" s="178" t="inlineStr">
        <is>
          <t>arreglar</t>
        </is>
      </c>
    </row>
    <row r="76">
      <c r="C76" s="101" t="inlineStr">
        <is>
          <t>Resmas de papel</t>
        </is>
      </c>
      <c r="D76" s="46" t="n"/>
      <c r="E76" s="177" t="n">
        <v>4</v>
      </c>
      <c r="F76" s="177" t="n">
        <v>50</v>
      </c>
      <c r="G76" s="177">
        <f>E76*F76</f>
        <v/>
      </c>
      <c r="H76" s="178" t="inlineStr">
        <is>
          <t>arreglar</t>
        </is>
      </c>
    </row>
    <row r="77">
      <c r="C77" s="101" t="inlineStr">
        <is>
          <t>Articulos de oficina (boligrafos, lapices, cinta, otros)</t>
        </is>
      </c>
      <c r="D77" s="46" t="n"/>
      <c r="E77" s="177" t="n">
        <v>1</v>
      </c>
      <c r="F77" s="177" t="n">
        <v>350</v>
      </c>
      <c r="G77" s="177">
        <f>E77*F77</f>
        <v/>
      </c>
      <c r="H77" s="178" t="inlineStr">
        <is>
          <t>arreglar</t>
        </is>
      </c>
      <c r="K77" s="116" t="inlineStr">
        <is>
          <t xml:space="preserve">Cuadre </t>
        </is>
      </c>
      <c r="L77" s="119" t="inlineStr">
        <is>
          <t>Este cuadre es solo ver si cuadra la sumatoria de (CONSTITUCION + INTRO + MKT + TRANSPORTE + HQ 3 MESES Y CAPEX) con las (Subfase 0a + Subfase 0b y subfase 0c). Son desgloses distintos, pero debe coincidir el total</t>
        </is>
      </c>
    </row>
    <row r="78">
      <c r="C78" s="102" t="inlineStr">
        <is>
          <t>Alquiler HQ Fase 0 (3 meses × 750 — 750/mes en cronograma 0a/0b/0c)</t>
        </is>
      </c>
      <c r="D78" s="179" t="n"/>
      <c r="E78" s="177" t="n">
        <v>3</v>
      </c>
      <c r="F78" s="177" t="n">
        <v>750</v>
      </c>
      <c r="G78" s="177">
        <f>E78*F78</f>
        <v/>
      </c>
      <c r="H78" s="178" t="inlineStr">
        <is>
          <t>arreglar</t>
        </is>
      </c>
      <c r="K78" s="180">
        <f>G81+G62+G52+G39+G33+G18</f>
        <v/>
      </c>
      <c r="L78" s="176" t="n"/>
    </row>
    <row r="79">
      <c r="C79" s="104" t="n"/>
      <c r="E79" s="177" t="n"/>
      <c r="F79" s="177" t="n"/>
      <c r="G79" s="177" t="n"/>
      <c r="H79" s="181" t="n"/>
    </row>
    <row r="80" ht="15" customHeight="1" s="44">
      <c r="C80" s="105" t="n"/>
      <c r="D80" s="182" t="n"/>
      <c r="E80" s="79" t="n"/>
      <c r="F80" s="79" t="n"/>
      <c r="G80" s="79" t="n"/>
    </row>
    <row r="81" ht="15" customHeight="1" s="44">
      <c r="C81" s="168" t="inlineStr">
        <is>
          <t>Subtotal HQ y CapEx (amueblado + alquiler Fase 0 + CapEx)</t>
        </is>
      </c>
      <c r="D81" s="48" t="n"/>
      <c r="E81" s="168" t="n"/>
      <c r="F81" s="168" t="n"/>
      <c r="G81" s="168">
        <f>SUM(G65:G78)</f>
        <v/>
      </c>
      <c r="H81" s="169">
        <f>IF(G81=0,"",G81/G127)</f>
        <v/>
      </c>
      <c r="I81" s="168" t="n"/>
      <c r="K81" s="116" t="inlineStr">
        <is>
          <t>one shots</t>
        </is>
      </c>
      <c r="L81" s="117" t="inlineStr">
        <is>
          <t>Total one shots caculado por mi cuenta para entendelro y ver si coincide con la cedla M11</t>
        </is>
      </c>
    </row>
    <row r="82">
      <c r="K82" s="183">
        <f>G81+G33+G18</f>
        <v/>
      </c>
      <c r="L82" s="176" t="n"/>
    </row>
    <row r="83">
      <c r="C83" s="66" t="inlineStr">
        <is>
          <t>FASE 0 — OUTFLOW OPERATIVO (T+0→Day-D, bottom-up)</t>
        </is>
      </c>
      <c r="D83" s="46" t="n"/>
      <c r="K83" s="116" t="inlineStr">
        <is>
          <t>oshots sin renta</t>
        </is>
      </c>
      <c r="L83" s="117" t="inlineStr">
        <is>
          <t>Total one shots - 1 mes renta. Calculo útil para entender el desglose de subfase 0a</t>
        </is>
      </c>
    </row>
    <row r="84">
      <c r="C84" s="92" t="inlineStr">
        <is>
          <t>Sub-fase 0a (T+0 a T+30) — one-shots sin renta + transporte + mes 1 (MO+renta+mkt)</t>
        </is>
      </c>
      <c r="D84" s="46" t="n"/>
      <c r="E84" s="165" t="n">
        <v>1</v>
      </c>
      <c r="F84" s="165" t="n">
        <v>33010</v>
      </c>
      <c r="G84" s="165">
        <f>E84*F84</f>
        <v/>
      </c>
      <c r="H84" s="172">
        <f>IF(G84=0,"",G84/G127)</f>
        <v/>
      </c>
      <c r="K84" s="183">
        <f>K82-G78</f>
        <v/>
      </c>
      <c r="L84" s="176" t="n"/>
    </row>
    <row r="85">
      <c r="C85" s="92" t="inlineStr">
        <is>
          <t>Sub-fase 0b (T+30 a T+60) — MO 7.125 + renta 750 + mkt pre 750</t>
        </is>
      </c>
      <c r="D85" s="46" t="n"/>
      <c r="E85" s="165" t="n">
        <v>1</v>
      </c>
      <c r="F85" s="165" t="n">
        <v>8625</v>
      </c>
      <c r="G85" s="165">
        <f>E85*F85</f>
        <v/>
      </c>
      <c r="H85" s="172">
        <f>IF(G85=0,"",G85/G127)</f>
        <v/>
      </c>
      <c r="K85" s="116" t="inlineStr">
        <is>
          <t>fase 0a</t>
        </is>
      </c>
      <c r="L85" s="117" t="inlineStr">
        <is>
          <t>Total subfase 0a. Calculo manual propio para ver componentes de la cedla G84 por separado.</t>
        </is>
      </c>
    </row>
    <row r="86" ht="15" customHeight="1" s="44">
      <c r="C86" s="92" t="inlineStr">
        <is>
          <t>Sub-fase 0c (T+60 a T+90) — MO 7.125 + renta 750 + mkt pre 750</t>
        </is>
      </c>
      <c r="D86" s="46" t="n"/>
      <c r="E86" s="165" t="n">
        <v>1</v>
      </c>
      <c r="F86" s="165" t="n">
        <v>8625</v>
      </c>
      <c r="G86" s="165">
        <f>E86*F86</f>
        <v/>
      </c>
      <c r="H86" s="172">
        <f>IF(G86=0,"",G86/G127)</f>
        <v/>
      </c>
      <c r="K86" s="183">
        <f>K84+K65+G62</f>
        <v/>
      </c>
      <c r="L86" s="176" t="n"/>
    </row>
    <row r="87" ht="15" customHeight="1" s="44">
      <c r="C87" s="168" t="inlineStr">
        <is>
          <t>Subtotal Fase 0</t>
        </is>
      </c>
      <c r="D87" s="48" t="n"/>
      <c r="E87" s="168" t="n"/>
      <c r="F87" s="168" t="n"/>
      <c r="G87" s="168">
        <f>SUM(G84:G86)</f>
        <v/>
      </c>
      <c r="H87" s="169">
        <f>IF(G87=0,"",G87/G127)</f>
        <v/>
      </c>
      <c r="I87" s="168" t="n"/>
    </row>
    <row r="89">
      <c r="C89" s="107" t="inlineStr">
        <is>
          <t>Caja al Day-D (TOTAL SAFE − Fase 0)</t>
        </is>
      </c>
      <c r="G89" s="165">
        <f>G127-G87</f>
        <v/>
      </c>
      <c r="H89" s="172">
        <f>IF(G89=0,"",G89/G127)</f>
        <v/>
      </c>
    </row>
    <row r="91">
      <c r="C91" s="107" t="inlineStr">
        <is>
          <t>TOTAL one-shots Lean (legal+intro+HQ CapEx incl. amueblado+alquiler Fase 0)</t>
        </is>
      </c>
      <c r="G91" s="165">
        <f>G18+G33+G81</f>
        <v/>
      </c>
      <c r="H91" s="172">
        <f>IF(G91=0,"",G91/G127)</f>
        <v/>
      </c>
      <c r="K91" s="127">
        <f>G81+G33+G18</f>
        <v/>
      </c>
    </row>
    <row r="93">
      <c r="C93" s="107" t="inlineStr">
        <is>
          <t>Validación: Fase0 − (one-shots+MO+mkt+transporte) → 0</t>
        </is>
      </c>
      <c r="G93" s="165">
        <f>G87-(G91+G52+G39+G62)</f>
        <v/>
      </c>
      <c r="H93" s="172">
        <f>IF(G93=0,"",G93/G127)</f>
        <v/>
      </c>
      <c r="I93" s="80" t="inlineStr">
        <is>
          <t>≈ delta vs subtotal MO + HQ/servicios en Fase 0</t>
        </is>
      </c>
    </row>
    <row r="94">
      <c r="C94" s="124" t="n"/>
      <c r="G94" s="184" t="n"/>
      <c r="H94" s="181" t="n"/>
      <c r="I94" s="127" t="n"/>
    </row>
    <row r="95" ht="31.8" customHeight="1" s="44">
      <c r="C95" s="128" t="inlineStr">
        <is>
          <t>DETALLE GASTOS MENSUALES</t>
        </is>
      </c>
    </row>
    <row r="97">
      <c r="C97" s="66" t="inlineStr">
        <is>
          <t>MANO DE OBRA OPERATIVA (post-Day-D — USD/mes, incluida en burn M1–M12)</t>
        </is>
      </c>
      <c r="D97" s="46" t="n"/>
    </row>
    <row r="98">
      <c r="C98" s="92" t="inlineStr">
        <is>
          <t>Espejo nómina Fase 0 mensualizada. Incluye CEO. No sumar a one-shots ni Fase 0.</t>
        </is>
      </c>
      <c r="D98" s="46" t="n"/>
      <c r="E98" s="46" t="n"/>
      <c r="F98" s="46" t="n"/>
      <c r="G98" s="46" t="n"/>
      <c r="H98" s="46" t="n"/>
      <c r="I98" s="46" t="n"/>
    </row>
    <row r="100">
      <c r="C100" s="80" t="inlineStr">
        <is>
          <t>CEO</t>
        </is>
      </c>
      <c r="F100" s="185" t="n">
        <v>1000</v>
      </c>
      <c r="H100" s="80" t="inlineStr">
        <is>
          <t>mensual</t>
        </is>
      </c>
      <c r="I100" s="80" t="inlineStr">
        <is>
          <t>→ burn Año 1</t>
        </is>
      </c>
    </row>
    <row r="101">
      <c r="C101" s="80" t="inlineStr">
        <is>
          <t>Founder CEO/CTO</t>
        </is>
      </c>
      <c r="F101" s="185" t="n">
        <v>1000</v>
      </c>
      <c r="H101" s="80" t="inlineStr">
        <is>
          <t>mensual</t>
        </is>
      </c>
      <c r="I101" s="80" t="inlineStr">
        <is>
          <t>→ burn Año 1</t>
        </is>
      </c>
    </row>
    <row r="102">
      <c r="C102" s="80" t="inlineStr">
        <is>
          <t>Co-CEO Head Sales&amp;Ops</t>
        </is>
      </c>
      <c r="F102" s="185" t="n">
        <v>1000</v>
      </c>
      <c r="H102" s="80" t="inlineStr">
        <is>
          <t>mensual</t>
        </is>
      </c>
      <c r="I102" s="80" t="inlineStr">
        <is>
          <t>→ burn Año 1</t>
        </is>
      </c>
    </row>
    <row r="103">
      <c r="C103" s="156" t="inlineStr">
        <is>
          <t>Dev junior (Flutter/Laravel) x3</t>
        </is>
      </c>
      <c r="F103" s="185" t="n">
        <v>3000</v>
      </c>
      <c r="H103" s="80" t="inlineStr">
        <is>
          <t>mensual</t>
        </is>
      </c>
      <c r="I103" s="80" t="inlineStr">
        <is>
          <t>→ burn Año 1</t>
        </is>
      </c>
    </row>
    <row r="104">
      <c r="C104" s="156" t="inlineStr">
        <is>
          <t>4× Sales B2B (base)</t>
        </is>
      </c>
      <c r="F104" s="185" t="n">
        <v>1400</v>
      </c>
      <c r="H104" s="80" t="inlineStr">
        <is>
          <t>mensual</t>
        </is>
      </c>
      <c r="I104" s="80" t="inlineStr">
        <is>
          <t>→ burn Año 1</t>
        </is>
      </c>
      <c r="K104" s="127">
        <f>350*6</f>
        <v/>
      </c>
    </row>
    <row r="105">
      <c r="C105" s="156" t="inlineStr">
        <is>
          <t>CS + Community Manager</t>
        </is>
      </c>
      <c r="F105" s="185" t="n">
        <v>500</v>
      </c>
      <c r="H105" s="80" t="inlineStr">
        <is>
          <t>mensual</t>
        </is>
      </c>
      <c r="I105" s="80" t="inlineStr">
        <is>
          <t>→ burn Año 1</t>
        </is>
      </c>
    </row>
    <row r="106">
      <c r="C106" s="80" t="inlineStr">
        <is>
          <t>Herramientas IA</t>
        </is>
      </c>
      <c r="F106" s="185" t="n">
        <v>425</v>
      </c>
      <c r="H106" s="80" t="inlineStr">
        <is>
          <t>mensual</t>
        </is>
      </c>
      <c r="I106" s="80" t="inlineStr">
        <is>
          <t>→ burn Año 1</t>
        </is>
      </c>
    </row>
    <row r="107" ht="14.4" customHeight="1" s="44">
      <c r="C107" s="107" t="inlineStr">
        <is>
          <t>Contador + Abogado</t>
        </is>
      </c>
      <c r="F107" s="158" t="n">
        <v>800</v>
      </c>
      <c r="G107" s="165" t="n"/>
      <c r="H107" s="172">
        <f>IF(G107=0,"",G107/G127)</f>
        <v/>
      </c>
      <c r="K107" s="123" t="inlineStr">
        <is>
          <t>El gasto mensual fase 0 total son 7125$ vs 9125$ mensuales después del Day D (MO OPERATIVA fija mensual), eso significa que se incrementa en 2000$/mes por la inclusión de 2 nuevos DV. ¿Es así esto?</t>
        </is>
      </c>
    </row>
    <row r="108">
      <c r="C108" s="127" t="inlineStr">
        <is>
          <t>Subtotal MO operativa (fija/mes)</t>
        </is>
      </c>
      <c r="G108" s="108">
        <f>SUM(F100:F107)</f>
        <v/>
      </c>
    </row>
    <row r="109">
      <c r="C109" s="66" t="inlineStr">
        <is>
          <t>MARKETING Y OPEX MENSUAL RECURRENTE (ref. ESTA → Año 1)</t>
        </is>
      </c>
      <c r="D109" s="46" t="n"/>
    </row>
    <row r="110">
      <c r="C110" s="92" t="inlineStr">
        <is>
          <t>Incluido en burn M1–M12. No sumar a one-shots ni duplicar MO Fase 0.</t>
        </is>
      </c>
      <c r="D110" s="46" t="n"/>
      <c r="E110" s="46" t="n"/>
      <c r="F110" s="46" t="n"/>
      <c r="G110" s="46" t="n"/>
      <c r="H110" s="46" t="n"/>
      <c r="I110" s="46" t="n"/>
    </row>
    <row r="112">
      <c r="C112" s="80" t="inlineStr">
        <is>
          <t>Alquiler HQ (mensual post-Day-D)</t>
        </is>
      </c>
      <c r="F112" s="185" t="n">
        <v>750</v>
      </c>
      <c r="G112" s="165">
        <f>F112</f>
        <v/>
      </c>
      <c r="H112" s="172">
        <f>IF(G112=0,"",G112/G127)</f>
        <v/>
      </c>
      <c r="I112" s="80" t="inlineStr">
        <is>
          <t>Alquiler HQ post-Day-D — incluido en burn M1–M12</t>
        </is>
      </c>
    </row>
    <row r="113">
      <c r="C113" s="80" t="inlineStr">
        <is>
          <t>Servicios oficina</t>
        </is>
      </c>
      <c r="F113" s="185" t="n">
        <v>200</v>
      </c>
      <c r="G113" s="165">
        <f>F113</f>
        <v/>
      </c>
      <c r="H113" s="172">
        <f>IF(G113=0,"",G113/G127)</f>
        <v/>
      </c>
      <c r="I113" s="80" t="inlineStr">
        <is>
          <t>→ ESTA: §2.3.1</t>
        </is>
      </c>
    </row>
    <row r="114">
      <c r="C114" s="80" t="inlineStr">
        <is>
          <t>Impuestos varios</t>
        </is>
      </c>
      <c r="F114" s="165" t="n">
        <v>200</v>
      </c>
      <c r="G114" s="165">
        <f>F114</f>
        <v/>
      </c>
      <c r="H114" s="172">
        <f>IF(G114=0,"",G114/G127)</f>
        <v/>
      </c>
      <c r="I114" s="80" t="inlineStr">
        <is>
          <t>SaaS ~120 + SMS ~34 (§2.3.1)</t>
        </is>
      </c>
    </row>
    <row r="115">
      <c r="C115" s="109" t="inlineStr">
        <is>
          <t xml:space="preserve">  └ Hosting cloud / SaaS (desglose)</t>
        </is>
      </c>
      <c r="F115" s="158" t="n">
        <v>120</v>
      </c>
      <c r="G115" s="127" t="n">
        <v>100</v>
      </c>
      <c r="I115" s="109" t="inlineStr">
        <is>
          <t>~120 USD/mes — footnote, no sumar</t>
        </is>
      </c>
    </row>
    <row r="116">
      <c r="C116" s="109" t="inlineStr">
        <is>
          <t xml:space="preserve">  └ Firebase SMS / OTP (pico conservador)</t>
        </is>
      </c>
      <c r="F116" s="158" t="n">
        <v>34</v>
      </c>
      <c r="G116" s="127" t="n">
        <v>54</v>
      </c>
      <c r="I116" s="109" t="inlineStr">
        <is>
          <t>~34 USD/mes — footnote, no sumar</t>
        </is>
      </c>
    </row>
    <row r="117">
      <c r="C117" s="80" t="inlineStr">
        <is>
          <t>Meta Ads (prom.)</t>
        </is>
      </c>
      <c r="F117" s="185" t="n">
        <v>800</v>
      </c>
      <c r="G117" s="165">
        <f>F117</f>
        <v/>
      </c>
      <c r="H117" s="172">
        <f>IF(G117=0,"",G117/G127)</f>
        <v/>
      </c>
      <c r="I117" s="80" t="inlineStr">
        <is>
          <t>→ ESTA: tramos</t>
        </is>
      </c>
    </row>
    <row r="118">
      <c r="C118" s="80" t="inlineStr">
        <is>
          <t>Valla pequeña (desde M3)</t>
        </is>
      </c>
      <c r="F118" s="185" t="n">
        <v>1500</v>
      </c>
      <c r="G118" s="165">
        <f>F118</f>
        <v/>
      </c>
      <c r="H118" s="172">
        <f>IF(G118=0,"",G118/G127)</f>
        <v/>
      </c>
      <c r="I118" s="80" t="inlineStr">
        <is>
          <t>→ ESTA / Año 1</t>
        </is>
      </c>
    </row>
    <row r="119">
      <c r="C119" s="80" t="inlineStr">
        <is>
          <t>Otros OPEX</t>
        </is>
      </c>
      <c r="F119" s="185" t="n">
        <v>1000</v>
      </c>
      <c r="G119" s="165">
        <f>F119</f>
        <v/>
      </c>
      <c r="H119" s="172">
        <f>IF(G119=0,"",G119/G127)</f>
        <v/>
      </c>
      <c r="I119" s="80" t="inlineStr">
        <is>
          <t>→ ESTA: PRESUPUESTO §6</t>
        </is>
      </c>
    </row>
    <row r="120">
      <c r="C120" s="111" t="inlineStr">
        <is>
          <t>Sales comisiones (estim. prom/mes — $40/firma)</t>
        </is>
      </c>
      <c r="F120" s="184" t="n">
        <v>617</v>
      </c>
      <c r="G120" s="165">
        <f>F120</f>
        <v/>
      </c>
      <c r="H120" s="172" t="n"/>
      <c r="I120" s="127" t="n"/>
    </row>
    <row r="121">
      <c r="C121" s="107" t="inlineStr">
        <is>
          <t>Subtotal marketing + opex variable/mes</t>
        </is>
      </c>
      <c r="G121" s="186">
        <f>SUM(G112:G120)</f>
        <v/>
      </c>
      <c r="H121" s="172">
        <f>IF(G121=0,"",G121/G127)</f>
        <v/>
      </c>
    </row>
    <row r="122">
      <c r="F122" s="165" t="n"/>
      <c r="H122" s="80" t="inlineStr">
        <is>
          <t>mensual</t>
        </is>
      </c>
      <c r="I122" s="80" t="inlineStr">
        <is>
          <t>Variable — no incluido en burn fijo Lean</t>
        </is>
      </c>
      <c r="L122" s="166" t="n"/>
    </row>
    <row r="124">
      <c r="C124" s="107" t="inlineStr">
        <is>
          <t>USE OF FUNDS 12M (post Day-D) — bottom-up</t>
        </is>
      </c>
      <c r="J124" s="116" t="inlineStr">
        <is>
          <t>Gasto Mensual</t>
        </is>
      </c>
    </row>
    <row r="125">
      <c r="C125" s="80" t="inlineStr">
        <is>
          <t>Burn M1-M12 (MO 7.125 + renta 750 + opex; valla M3–M12)</t>
        </is>
      </c>
      <c r="G125" s="165">
        <f>(G108+G121)*12</f>
        <v/>
      </c>
      <c r="H125" s="172">
        <f>IF(G125=0,"",G125/G127)</f>
        <v/>
      </c>
      <c r="J125" s="116">
        <f>G125/12</f>
        <v/>
      </c>
    </row>
    <row r="126">
      <c r="C126" s="80" t="inlineStr">
        <is>
          <t>Reserva caja Lean</t>
        </is>
      </c>
      <c r="G126" s="165" t="n">
        <v>15000</v>
      </c>
      <c r="H126" s="172">
        <f>IF(G126=0,"",G126/G127)</f>
        <v/>
      </c>
    </row>
    <row r="127">
      <c r="C127" s="107" t="inlineStr">
        <is>
          <t>TOTAL capital SAFE Lean (= Fase 0 + Burn M1–M12 + Reserva)</t>
        </is>
      </c>
      <c r="G127" s="165">
        <f>G87+G125+G126</f>
        <v/>
      </c>
      <c r="H127" s="172">
        <f>IF(G127=0,"",G127/G127)</f>
        <v/>
      </c>
      <c r="K127" s="127">
        <f>J125-13529</f>
        <v/>
      </c>
    </row>
  </sheetData>
  <mergeCells count="82">
    <mergeCell ref="C62:D62"/>
    <mergeCell ref="C15:D15"/>
    <mergeCell ref="L83:L84"/>
    <mergeCell ref="C64:D64"/>
    <mergeCell ref="C79:D79"/>
    <mergeCell ref="C73:D73"/>
    <mergeCell ref="C54:D54"/>
    <mergeCell ref="C41:D41"/>
    <mergeCell ref="C50:D50"/>
    <mergeCell ref="K10:M10"/>
    <mergeCell ref="C76:D76"/>
    <mergeCell ref="C27:D27"/>
    <mergeCell ref="C4:I4"/>
    <mergeCell ref="C36:D36"/>
    <mergeCell ref="L81:L82"/>
    <mergeCell ref="C17:D17"/>
    <mergeCell ref="C67:D67"/>
    <mergeCell ref="C28:D28"/>
    <mergeCell ref="C95:I95"/>
    <mergeCell ref="C69:D69"/>
    <mergeCell ref="C83:D83"/>
    <mergeCell ref="C110:I110"/>
    <mergeCell ref="C30:D30"/>
    <mergeCell ref="C45:D45"/>
    <mergeCell ref="C14:D14"/>
    <mergeCell ref="C97:D97"/>
    <mergeCell ref="C109:D109"/>
    <mergeCell ref="C47:D47"/>
    <mergeCell ref="K23:M23"/>
    <mergeCell ref="C42:I42"/>
    <mergeCell ref="C60:D60"/>
    <mergeCell ref="C71:D71"/>
    <mergeCell ref="L85:L86"/>
    <mergeCell ref="C20:I20"/>
    <mergeCell ref="C22:I22"/>
    <mergeCell ref="C57:D57"/>
    <mergeCell ref="C66:D66"/>
    <mergeCell ref="C18:D18"/>
    <mergeCell ref="C77:D77"/>
    <mergeCell ref="C86:D86"/>
    <mergeCell ref="C68:D68"/>
    <mergeCell ref="C58:D58"/>
    <mergeCell ref="C29:D29"/>
    <mergeCell ref="C85:D85"/>
    <mergeCell ref="C65:D65"/>
    <mergeCell ref="C84:D84"/>
    <mergeCell ref="C75:D75"/>
    <mergeCell ref="C44:D44"/>
    <mergeCell ref="C80:D80"/>
    <mergeCell ref="C31:D31"/>
    <mergeCell ref="C59:D59"/>
    <mergeCell ref="C12:D12"/>
    <mergeCell ref="C46:D46"/>
    <mergeCell ref="C51:D51"/>
    <mergeCell ref="C61:D61"/>
    <mergeCell ref="C70:D70"/>
    <mergeCell ref="C48:D48"/>
    <mergeCell ref="L77:L78"/>
    <mergeCell ref="C55:I55"/>
    <mergeCell ref="C32:D32"/>
    <mergeCell ref="C38:D38"/>
    <mergeCell ref="C49:D49"/>
    <mergeCell ref="C24:D24"/>
    <mergeCell ref="C33:D33"/>
    <mergeCell ref="C74:D74"/>
    <mergeCell ref="C26:D26"/>
    <mergeCell ref="C35:D35"/>
    <mergeCell ref="C10:D10"/>
    <mergeCell ref="C16:D16"/>
    <mergeCell ref="K107:L108"/>
    <mergeCell ref="L64:L65"/>
    <mergeCell ref="C25:D25"/>
    <mergeCell ref="C98:I98"/>
    <mergeCell ref="C11:D11"/>
    <mergeCell ref="C52:D52"/>
    <mergeCell ref="C39:D39"/>
    <mergeCell ref="C72:D72"/>
    <mergeCell ref="C81:D81"/>
    <mergeCell ref="C37:D37"/>
    <mergeCell ref="C13:D13"/>
    <mergeCell ref="C78:D78"/>
    <mergeCell ref="C87:D87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topLeftCell="B7" zoomScale="95" zoomScaleNormal="95" workbookViewId="0">
      <selection activeCell="G13" sqref="G13"/>
    </sheetView>
  </sheetViews>
  <sheetFormatPr baseColWidth="10" defaultColWidth="8.6640625" defaultRowHeight="14.4"/>
  <cols>
    <col width="13" customWidth="1" style="44" min="1" max="1"/>
    <col width="11.33203125" customWidth="1" style="44" min="2" max="2"/>
    <col width="52.88671875" customWidth="1" style="44" min="5" max="5"/>
    <col width="13" customWidth="1" style="44" min="6" max="6"/>
    <col width="17.109375" customWidth="1" style="44" min="7" max="7"/>
    <col width="17.5546875" customWidth="1" style="44" min="8" max="8"/>
    <col width="15.5546875" customWidth="1" style="44" min="9" max="9"/>
    <col width="28" customWidth="1" style="44" min="11" max="11"/>
    <col width="15.5546875" customWidth="1" style="44" min="12" max="12"/>
    <col width="14" customWidth="1" style="44" min="13" max="13"/>
    <col width="29.109375" customWidth="1" style="44" min="14" max="14"/>
  </cols>
  <sheetData>
    <row r="1"/>
    <row r="2"/>
    <row r="3"/>
    <row r="4"/>
    <row r="5"/>
    <row r="6"/>
    <row r="7" ht="24.6" customHeight="1" s="44">
      <c r="E7" s="51" t="inlineStr">
        <is>
          <t>Zonix Pharma — Resumen inversión (v3.9.1)</t>
        </is>
      </c>
    </row>
    <row r="8"/>
    <row r="9">
      <c r="E9" s="52" t="inlineStr">
        <is>
          <t>A — Use of funds (TOTAL SAFE Lean)</t>
        </is>
      </c>
      <c r="F9" s="46" t="n"/>
      <c r="G9" s="46" t="n"/>
      <c r="H9" s="46" t="n"/>
      <c r="I9" s="50" t="n"/>
      <c r="K9" s="47" t="inlineStr">
        <is>
          <t>TIMELINE + RESUMEN FASE 0 (v4 (04-ago-2026))</t>
        </is>
      </c>
    </row>
    <row r="10">
      <c r="E10" s="53" t="inlineStr">
        <is>
          <t>Bloque</t>
        </is>
      </c>
      <c r="G10" s="53" t="inlineStr">
        <is>
          <t>USD</t>
        </is>
      </c>
      <c r="H10" s="53" t="inlineStr">
        <is>
          <t>% del total</t>
        </is>
      </c>
      <c r="K10" s="55" t="inlineStr">
        <is>
          <t>One-shots (legal+intro+HQ CapEx incl. alquiler Fase 0)</t>
        </is>
      </c>
      <c r="M10" s="187">
        <f>'Detallado de la inversión.'!G91</f>
        <v/>
      </c>
    </row>
    <row r="11">
      <c r="E11" s="55" t="inlineStr">
        <is>
          <t>Fase 0 total (T+0→Day-D)</t>
        </is>
      </c>
      <c r="G11" s="187">
        <f>'Detallado de la inversión.'!G87</f>
        <v/>
      </c>
      <c r="H11" s="188">
        <f>G11/G15</f>
        <v/>
      </c>
      <c r="K11" s="55" t="inlineStr">
        <is>
          <t>Fase 0 operativa (MO+mkt+transporte)</t>
        </is>
      </c>
      <c r="M11" s="187">
        <f>'Detallado de la inversión.'!G52+'Detallado de la inversión.'!G39+'Detallado de la inversión.'!G62</f>
        <v/>
      </c>
    </row>
    <row r="12">
      <c r="E12" s="55" t="inlineStr">
        <is>
          <t>Burn 12 meses (M1–M12)</t>
        </is>
      </c>
      <c r="G12" s="187">
        <f>'Detallado de la inversión.'!G125</f>
        <v/>
      </c>
      <c r="H12" s="188">
        <f>G12/G15</f>
        <v/>
      </c>
      <c r="K12" s="55" t="inlineStr">
        <is>
          <t>Fase 0 total (T+0→Day-D)</t>
        </is>
      </c>
      <c r="M12" s="187">
        <f>'Detallado de la inversión.'!G87</f>
        <v/>
      </c>
      <c r="N12">
        <f>M12-M10-M11</f>
        <v/>
      </c>
    </row>
    <row r="13">
      <c r="E13" s="55" t="inlineStr">
        <is>
          <t>Reserva caja Lean</t>
        </is>
      </c>
      <c r="G13" s="187">
        <f>'Detallado de la inversión.'!G126</f>
        <v/>
      </c>
      <c r="H13" s="188">
        <f>G13/G15</f>
        <v/>
      </c>
      <c r="K13" s="55" t="inlineStr">
        <is>
          <t>Sub-fase 0a (T+0→T+30)</t>
        </is>
      </c>
      <c r="M13" s="187">
        <f>'Detallado de la inversión.'!G84</f>
        <v/>
      </c>
    </row>
    <row r="14" ht="15" customHeight="1" s="44">
      <c r="K14" s="55" t="inlineStr">
        <is>
          <t>Sub-fase 0b (T+30→T+60)</t>
        </is>
      </c>
      <c r="M14" s="187">
        <f>'Detallado de la inversión.'!G85</f>
        <v/>
      </c>
    </row>
    <row r="15" ht="15" customHeight="1" s="44">
      <c r="E15" s="189" t="inlineStr">
        <is>
          <t>TOTAL SAFE Lean</t>
        </is>
      </c>
      <c r="G15" s="189">
        <f>'Detallado de la inversión.'!G127</f>
        <v/>
      </c>
      <c r="H15" s="189">
        <f>SUM(H11:H13)</f>
        <v/>
      </c>
      <c r="K15" s="55" t="inlineStr">
        <is>
          <t>Sub-fase 0c (T+60→T+90)</t>
        </is>
      </c>
      <c r="M15" s="187">
        <f>'Detallado de la inversión.'!G86</f>
        <v/>
      </c>
    </row>
    <row r="16">
      <c r="E16" s="39" t="inlineStr">
        <is>
          <t>Desglose Fase 0: one-shots ~22.365 + operativa ~27.895 (MO+mkt+transporte). Alquiler 3×750 dentro de HQ. v4 (04-ago-2026).</t>
        </is>
      </c>
      <c r="K16" s="55" t="inlineStr">
        <is>
          <t>Caja al Day-D (inicio M1)</t>
        </is>
      </c>
      <c r="M16" s="187">
        <f>'Detallado de la inversión.'!G89</f>
        <v/>
      </c>
    </row>
    <row r="17">
      <c r="K17" s="55" t="inlineStr">
        <is>
          <t>Burn 12 meses (M1–M12)</t>
        </is>
      </c>
      <c r="M17" s="187">
        <f>'Detallado de la inversión.'!G125</f>
        <v/>
      </c>
    </row>
    <row r="18">
      <c r="E18" s="52" t="inlineStr">
        <is>
          <t>B — Desglose operativo Fase 0 (enlace Detallado)</t>
        </is>
      </c>
      <c r="F18" s="46" t="n"/>
      <c r="G18" s="46" t="n"/>
      <c r="H18" s="46" t="n"/>
      <c r="I18" s="50" t="n"/>
      <c r="K18" s="55" t="inlineStr">
        <is>
          <t>Reserva caja</t>
        </is>
      </c>
      <c r="M18" s="187">
        <f>'Detallado de la inversión.'!G126</f>
        <v/>
      </c>
    </row>
    <row r="19" ht="15" customHeight="1" s="44">
      <c r="E19" s="49" t="inlineStr">
        <is>
          <t>Informativo — no sumar bloques al TOTAL SAFE (Sección A). Subtotal Fase 0 = modelo timing 0a–0c, no suma de columnas visibles.</t>
        </is>
      </c>
      <c r="K19" s="55" t="inlineStr">
        <is>
          <t>TOTAL capital SAFE</t>
        </is>
      </c>
      <c r="M19" s="190">
        <f>'Detallado de la inversión.'!G127</f>
        <v/>
      </c>
    </row>
    <row r="20">
      <c r="E20" s="53" t="inlineStr">
        <is>
          <t>Descripción</t>
        </is>
      </c>
      <c r="F20" s="50" t="n"/>
      <c r="G20" s="53" t="inlineStr">
        <is>
          <t>Cant.</t>
        </is>
      </c>
      <c r="H20" s="53" t="inlineStr">
        <is>
          <t>USD/u</t>
        </is>
      </c>
      <c r="I20" s="53" t="inlineStr">
        <is>
          <t>Total USD</t>
        </is>
      </c>
      <c r="K20" s="55" t="inlineStr">
        <is>
          <t>SAFE cap ref. → equity % [PENDIENTE decisión cap]</t>
        </is>
      </c>
      <c r="M20" s="191">
        <f>M19/600000</f>
        <v/>
      </c>
    </row>
    <row r="21">
      <c r="E21" s="54" t="inlineStr">
        <is>
          <t>Constitución empresa (sin BPF/CPE farmacia)</t>
        </is>
      </c>
      <c r="F21" s="46" t="n"/>
      <c r="G21" s="46" t="n"/>
      <c r="H21" s="46" t="n"/>
      <c r="I21" s="50" t="n"/>
    </row>
    <row r="22">
      <c r="E22" s="55">
        <f>'Detallado de la inversión.'!C11</f>
        <v/>
      </c>
      <c r="F22" s="50" t="n"/>
      <c r="G22" s="187">
        <f>'Detallado de la inversión.'!E11</f>
        <v/>
      </c>
      <c r="H22" s="187">
        <f>'Detallado de la inversión.'!F11</f>
        <v/>
      </c>
      <c r="I22" s="187">
        <f>'Detallado de la inversión.'!G11</f>
        <v/>
      </c>
      <c r="K22" s="52" t="inlineStr">
        <is>
          <t>Ref. mensual post-Day-D</t>
        </is>
      </c>
    </row>
    <row r="23">
      <c r="E23" s="55">
        <f>'Detallado de la inversión.'!C12</f>
        <v/>
      </c>
      <c r="F23" s="50" t="n"/>
      <c r="G23" s="187">
        <f>'Detallado de la inversión.'!E12</f>
        <v/>
      </c>
      <c r="H23" s="187">
        <f>'Detallado de la inversión.'!F12</f>
        <v/>
      </c>
      <c r="I23" s="187">
        <f>'Detallado de la inversión.'!G12</f>
        <v/>
      </c>
      <c r="K23" s="55" t="inlineStr">
        <is>
          <t>MO operativa (subtotal)</t>
        </is>
      </c>
      <c r="M23" s="187">
        <f>'Detallado de la inversión.'!G108</f>
        <v/>
      </c>
    </row>
    <row r="24">
      <c r="E24" s="55">
        <f>'Detallado de la inversión.'!C13</f>
        <v/>
      </c>
      <c r="F24" s="50" t="n"/>
      <c r="G24" s="187">
        <f>'Detallado de la inversión.'!E13</f>
        <v/>
      </c>
      <c r="H24" s="187">
        <f>'Detallado de la inversión.'!F13</f>
        <v/>
      </c>
      <c r="I24" s="187">
        <f>'Detallado de la inversión.'!G13</f>
        <v/>
      </c>
      <c r="K24" s="55" t="inlineStr">
        <is>
          <t>Marketing mensual (subtotal)</t>
        </is>
      </c>
      <c r="M24" s="187">
        <f>'Detallado de la inversión.'!G121</f>
        <v/>
      </c>
    </row>
    <row r="25" ht="26.85" customHeight="1" s="44">
      <c r="E25" s="55">
        <f>'Detallado de la inversión.'!C14</f>
        <v/>
      </c>
      <c r="F25" s="50" t="n"/>
      <c r="G25" s="187">
        <f>'Detallado de la inversión.'!E14</f>
        <v/>
      </c>
      <c r="H25" s="187">
        <f>'Detallado de la inversión.'!F14</f>
        <v/>
      </c>
      <c r="I25" s="187">
        <f>'Detallado de la inversión.'!G14</f>
        <v/>
      </c>
      <c r="K25" s="49" t="inlineStr">
        <is>
          <t>v4 (04-ago-2026): amueblado one-shot; alquiler en HQ; sin ops recurrentes Fase 0. Categorías=timing. Unit economics → ESTA SI VALE.</t>
        </is>
      </c>
    </row>
    <row r="26">
      <c r="E26" s="55">
        <f>'Detallado de la inversión.'!C15</f>
        <v/>
      </c>
      <c r="F26" s="50" t="n"/>
      <c r="G26" s="187">
        <f>'Detallado de la inversión.'!E15</f>
        <v/>
      </c>
      <c r="H26" s="187">
        <f>'Detallado de la inversión.'!F15</f>
        <v/>
      </c>
      <c r="I26" s="187">
        <f>'Detallado de la inversión.'!G15</f>
        <v/>
      </c>
    </row>
    <row r="27">
      <c r="E27" s="55">
        <f>'Detallado de la inversión.'!C16</f>
        <v/>
      </c>
      <c r="F27" s="50" t="n"/>
      <c r="G27" s="187">
        <f>'Detallado de la inversión.'!E16</f>
        <v/>
      </c>
      <c r="H27" s="187">
        <f>'Detallado de la inversión.'!F16</f>
        <v/>
      </c>
      <c r="I27" s="187">
        <f>'Detallado de la inversión.'!G16</f>
        <v/>
      </c>
    </row>
    <row r="28" ht="15" customHeight="1" s="44">
      <c r="E28" s="55">
        <f>'Detallado de la inversión.'!C17</f>
        <v/>
      </c>
      <c r="F28" s="50" t="n"/>
      <c r="G28" s="187">
        <f>'Detallado de la inversión.'!E17</f>
        <v/>
      </c>
      <c r="H28" s="187">
        <f>'Detallado de la inversión.'!F17</f>
        <v/>
      </c>
      <c r="I28" s="187">
        <f>'Detallado de la inversión.'!G17</f>
        <v/>
      </c>
    </row>
    <row r="29" ht="15" customHeight="1" s="44">
      <c r="E29" s="56">
        <f>'Detallado de la inversión.'!C18</f>
        <v/>
      </c>
      <c r="F29" s="57" t="n"/>
      <c r="I29" s="192">
        <f>'Detallado de la inversión.'!G18</f>
        <v/>
      </c>
    </row>
    <row r="31">
      <c r="E31" s="54" t="inlineStr">
        <is>
          <t>Introducción al mercado / demo</t>
        </is>
      </c>
      <c r="F31" s="46" t="n"/>
      <c r="G31" s="46" t="n"/>
      <c r="H31" s="46" t="n"/>
      <c r="I31" s="50" t="n"/>
    </row>
    <row r="32">
      <c r="E32" s="55">
        <f>'Detallado de la inversión.'!C25</f>
        <v/>
      </c>
      <c r="F32" s="50" t="n"/>
      <c r="G32" s="187">
        <f>'Detallado de la inversión.'!E25</f>
        <v/>
      </c>
      <c r="H32" s="187">
        <f>'Detallado de la inversión.'!F25</f>
        <v/>
      </c>
      <c r="I32" s="187">
        <f>'Detallado de la inversión.'!G25</f>
        <v/>
      </c>
    </row>
    <row r="33">
      <c r="E33" s="55">
        <f>'Detallado de la inversión.'!C26</f>
        <v/>
      </c>
      <c r="F33" s="50" t="n"/>
      <c r="G33" s="187">
        <f>'Detallado de la inversión.'!E26</f>
        <v/>
      </c>
      <c r="H33" s="187">
        <f>'Detallado de la inversión.'!F26</f>
        <v/>
      </c>
      <c r="I33" s="187">
        <f>'Detallado de la inversión.'!G26</f>
        <v/>
      </c>
    </row>
    <row r="34">
      <c r="E34" s="55">
        <f>'Detallado de la inversión.'!C27</f>
        <v/>
      </c>
      <c r="F34" s="50" t="n"/>
      <c r="G34" s="187">
        <f>'Detallado de la inversión.'!E27</f>
        <v/>
      </c>
      <c r="H34" s="187">
        <f>'Detallado de la inversión.'!F27</f>
        <v/>
      </c>
      <c r="I34" s="187">
        <f>'Detallado de la inversión.'!G27</f>
        <v/>
      </c>
    </row>
    <row r="35">
      <c r="E35" s="55">
        <f>'Detallado de la inversión.'!C28</f>
        <v/>
      </c>
      <c r="F35" s="50" t="n"/>
      <c r="G35" s="187">
        <f>'Detallado de la inversión.'!E28</f>
        <v/>
      </c>
      <c r="H35" s="187">
        <f>'Detallado de la inversión.'!F28</f>
        <v/>
      </c>
      <c r="I35" s="187">
        <f>'Detallado de la inversión.'!G28</f>
        <v/>
      </c>
    </row>
    <row r="36">
      <c r="E36" s="55">
        <f>'Detallado de la inversión.'!C30</f>
        <v/>
      </c>
      <c r="F36" s="50" t="n"/>
      <c r="G36" s="187">
        <f>'Detallado de la inversión.'!E30</f>
        <v/>
      </c>
      <c r="H36" s="187">
        <f>'Detallado de la inversión.'!F30</f>
        <v/>
      </c>
      <c r="I36" s="187">
        <f>'Detallado de la inversión.'!G30</f>
        <v/>
      </c>
    </row>
    <row r="37" ht="15" customHeight="1" s="44">
      <c r="E37" s="55">
        <f>'Detallado de la inversión.'!C32</f>
        <v/>
      </c>
      <c r="F37" s="50" t="n"/>
      <c r="G37" s="187">
        <f>'Detallado de la inversión.'!E32</f>
        <v/>
      </c>
      <c r="H37" s="187">
        <f>'Detallado de la inversión.'!F32</f>
        <v/>
      </c>
      <c r="I37" s="187">
        <f>'Detallado de la inversión.'!G32</f>
        <v/>
      </c>
    </row>
    <row r="38" ht="15" customHeight="1" s="44">
      <c r="E38" s="56">
        <f>'Detallado de la inversión.'!C33</f>
        <v/>
      </c>
      <c r="F38" s="57" t="n"/>
      <c r="I38" s="192">
        <f>'Detallado de la inversión.'!G33</f>
        <v/>
      </c>
    </row>
    <row r="40">
      <c r="E40" s="54" t="inlineStr">
        <is>
          <t>Marketing pre-lanzamiento (3 meses)</t>
        </is>
      </c>
      <c r="F40" s="46" t="n"/>
      <c r="G40" s="46" t="n"/>
      <c r="H40" s="46" t="n"/>
      <c r="I40" s="50" t="n"/>
    </row>
    <row r="41">
      <c r="E41" s="55">
        <f>'Detallado de la inversión.'!C36</f>
        <v/>
      </c>
      <c r="F41" s="50" t="n"/>
      <c r="G41" s="187">
        <f>'Detallado de la inversión.'!E36</f>
        <v/>
      </c>
      <c r="H41" s="187">
        <f>'Detallado de la inversión.'!F36</f>
        <v/>
      </c>
      <c r="I41" s="187">
        <f>'Detallado de la inversión.'!G36</f>
        <v/>
      </c>
    </row>
    <row r="42">
      <c r="E42" s="55">
        <f>'Detallado de la inversión.'!C37</f>
        <v/>
      </c>
      <c r="F42" s="50" t="n"/>
      <c r="G42" s="187">
        <f>'Detallado de la inversión.'!E37</f>
        <v/>
      </c>
      <c r="H42" s="187">
        <f>'Detallado de la inversión.'!F37</f>
        <v/>
      </c>
      <c r="I42" s="187">
        <f>'Detallado de la inversión.'!G37</f>
        <v/>
      </c>
    </row>
    <row r="43" ht="15" customHeight="1" s="44">
      <c r="E43" s="55">
        <f>'Detallado de la inversión.'!C38</f>
        <v/>
      </c>
      <c r="F43" s="50" t="n"/>
      <c r="G43" s="187">
        <f>'Detallado de la inversión.'!E38</f>
        <v/>
      </c>
      <c r="H43" s="187">
        <f>'Detallado de la inversión.'!F38</f>
        <v/>
      </c>
      <c r="I43" s="187">
        <f>'Detallado de la inversión.'!G38</f>
        <v/>
      </c>
    </row>
    <row r="44" ht="15" customHeight="1" s="44">
      <c r="E44" s="56">
        <f>'Detallado de la inversión.'!C39</f>
        <v/>
      </c>
      <c r="F44" s="57" t="n"/>
      <c r="I44" s="192">
        <f>'Detallado de la inversión.'!G39</f>
        <v/>
      </c>
    </row>
    <row r="46">
      <c r="E46" s="54" t="inlineStr">
        <is>
          <t>Mano de obra Fase 0 (3 meses)</t>
        </is>
      </c>
      <c r="F46" s="46" t="n"/>
      <c r="G46" s="46" t="n"/>
      <c r="H46" s="46" t="n"/>
      <c r="I46" s="50" t="n"/>
    </row>
    <row r="47">
      <c r="E47" s="55">
        <f>'Detallado de la inversión.'!C44</f>
        <v/>
      </c>
      <c r="F47" s="50" t="n"/>
      <c r="G47" s="187">
        <f>'Detallado de la inversión.'!E44</f>
        <v/>
      </c>
      <c r="H47" s="187">
        <f>'Detallado de la inversión.'!F44</f>
        <v/>
      </c>
      <c r="I47" s="187">
        <f>'Detallado de la inversión.'!G44</f>
        <v/>
      </c>
    </row>
    <row r="48">
      <c r="E48" s="55">
        <f>'Detallado de la inversión.'!C46</f>
        <v/>
      </c>
      <c r="F48" s="50" t="n"/>
      <c r="G48" s="187">
        <f>'Detallado de la inversión.'!E46</f>
        <v/>
      </c>
      <c r="H48" s="187">
        <f>'Detallado de la inversión.'!F46</f>
        <v/>
      </c>
      <c r="I48" s="187">
        <f>'Detallado de la inversión.'!G46</f>
        <v/>
      </c>
    </row>
    <row r="49">
      <c r="E49" s="55">
        <f>'Detallado de la inversión.'!C47</f>
        <v/>
      </c>
      <c r="F49" s="50" t="n"/>
      <c r="G49" s="187">
        <f>'Detallado de la inversión.'!E47</f>
        <v/>
      </c>
      <c r="H49" s="187">
        <f>'Detallado de la inversión.'!F47</f>
        <v/>
      </c>
      <c r="I49" s="187">
        <f>'Detallado de la inversión.'!G47</f>
        <v/>
      </c>
    </row>
    <row r="50">
      <c r="E50" s="55">
        <f>'Detallado de la inversión.'!C48</f>
        <v/>
      </c>
      <c r="F50" s="50" t="n"/>
      <c r="G50" s="187">
        <f>'Detallado de la inversión.'!E48</f>
        <v/>
      </c>
      <c r="H50" s="187">
        <f>'Detallado de la inversión.'!F48</f>
        <v/>
      </c>
      <c r="I50" s="187">
        <f>'Detallado de la inversión.'!G48</f>
        <v/>
      </c>
    </row>
    <row r="51">
      <c r="E51" s="55">
        <f>'Detallado de la inversión.'!C49</f>
        <v/>
      </c>
      <c r="F51" s="50" t="n"/>
      <c r="G51" s="187">
        <f>'Detallado de la inversión.'!E49</f>
        <v/>
      </c>
      <c r="H51" s="187">
        <f>'Detallado de la inversión.'!F49</f>
        <v/>
      </c>
      <c r="I51" s="187">
        <f>'Detallado de la inversión.'!G49</f>
        <v/>
      </c>
    </row>
    <row r="52">
      <c r="E52" s="55">
        <f>'Detallado de la inversión.'!C50</f>
        <v/>
      </c>
      <c r="F52" s="50" t="n"/>
      <c r="G52" s="187">
        <f>'Detallado de la inversión.'!E50</f>
        <v/>
      </c>
      <c r="H52" s="187">
        <f>'Detallado de la inversión.'!F50</f>
        <v/>
      </c>
      <c r="I52" s="187">
        <f>'Detallado de la inversión.'!G50</f>
        <v/>
      </c>
    </row>
    <row r="53" ht="15" customHeight="1" s="44">
      <c r="E53" s="55">
        <f>'Detallado de la inversión.'!C51</f>
        <v/>
      </c>
      <c r="F53" s="50" t="n"/>
      <c r="G53" s="187">
        <f>'Detallado de la inversión.'!E51</f>
        <v/>
      </c>
      <c r="H53" s="187">
        <f>'Detallado de la inversión.'!F51</f>
        <v/>
      </c>
      <c r="I53" s="187">
        <f>'Detallado de la inversión.'!G51</f>
        <v/>
      </c>
    </row>
    <row r="54" ht="15" customHeight="1" s="44">
      <c r="E54" s="56">
        <f>'Detallado de la inversión.'!C52</f>
        <v/>
      </c>
      <c r="F54" s="57" t="n"/>
      <c r="I54" s="192">
        <f>'Detallado de la inversión.'!G52</f>
        <v/>
      </c>
    </row>
    <row r="56">
      <c r="E56" s="58" t="inlineStr">
        <is>
          <t>Transporte B2B (referencia — no suma ancla)</t>
        </is>
      </c>
      <c r="F56" s="46" t="n"/>
      <c r="G56" s="46" t="n"/>
      <c r="H56" s="46" t="n"/>
      <c r="I56" s="50" t="n"/>
    </row>
    <row r="57">
      <c r="E57" s="59">
        <f>'Detallado de la inversión.'!C57</f>
        <v/>
      </c>
      <c r="F57" s="50" t="n"/>
      <c r="G57" s="193">
        <f>'Detallado de la inversión.'!E57</f>
        <v/>
      </c>
      <c r="H57" s="193">
        <f>'Detallado de la inversión.'!F57</f>
        <v/>
      </c>
      <c r="I57" s="193">
        <f>'Detallado de la inversión.'!G57</f>
        <v/>
      </c>
    </row>
    <row r="58">
      <c r="E58" s="59">
        <f>'Detallado de la inversión.'!C58</f>
        <v/>
      </c>
      <c r="F58" s="50" t="n"/>
      <c r="G58" s="193">
        <f>'Detallado de la inversión.'!E58</f>
        <v/>
      </c>
      <c r="H58" s="193">
        <f>'Detallado de la inversión.'!F58</f>
        <v/>
      </c>
      <c r="I58" s="193">
        <f>'Detallado de la inversión.'!G58</f>
        <v/>
      </c>
    </row>
    <row r="59">
      <c r="E59" s="59">
        <f>'Detallado de la inversión.'!C61</f>
        <v/>
      </c>
      <c r="F59" s="50" t="n"/>
      <c r="G59" s="193">
        <f>'Detallado de la inversión.'!E61</f>
        <v/>
      </c>
      <c r="H59" s="193">
        <f>'Detallado de la inversión.'!F61</f>
        <v/>
      </c>
      <c r="I59" s="193">
        <f>'Detallado de la inversión.'!G61</f>
        <v/>
      </c>
    </row>
    <row r="60">
      <c r="E60" s="60">
        <f>'Detallado de la inversión.'!C62</f>
        <v/>
      </c>
      <c r="I60" s="193">
        <f>'Detallado de la inversión.'!G62</f>
        <v/>
      </c>
    </row>
    <row r="62">
      <c r="E62" s="54" t="inlineStr">
        <is>
          <t>HQ y CapEx</t>
        </is>
      </c>
      <c r="F62" s="46" t="n"/>
      <c r="G62" s="46" t="n"/>
      <c r="H62" s="46" t="n"/>
      <c r="I62" s="50" t="n"/>
    </row>
    <row r="63">
      <c r="E63" s="55">
        <f>'Detallado de la inversión.'!C65</f>
        <v/>
      </c>
      <c r="F63" s="50" t="n"/>
      <c r="G63" s="187">
        <f>'Detallado de la inversión.'!E65</f>
        <v/>
      </c>
      <c r="H63" s="187">
        <f>'Detallado de la inversión.'!F65</f>
        <v/>
      </c>
      <c r="I63" s="187">
        <f>'Detallado de la inversión.'!G65</f>
        <v/>
      </c>
    </row>
    <row r="64">
      <c r="E64" s="55">
        <f>'Detallado de la inversión.'!C66</f>
        <v/>
      </c>
      <c r="F64" s="50" t="n"/>
      <c r="G64" s="187">
        <f>'Detallado de la inversión.'!E66</f>
        <v/>
      </c>
      <c r="H64" s="187">
        <f>'Detallado de la inversión.'!F66</f>
        <v/>
      </c>
      <c r="I64" s="187">
        <f>'Detallado de la inversión.'!G66</f>
        <v/>
      </c>
    </row>
    <row r="65">
      <c r="E65" s="55">
        <f>'Detallado de la inversión.'!C67</f>
        <v/>
      </c>
      <c r="F65" s="50" t="n"/>
      <c r="G65" s="187">
        <f>'Detallado de la inversión.'!E67</f>
        <v/>
      </c>
      <c r="H65" s="187">
        <f>'Detallado de la inversión.'!F67</f>
        <v/>
      </c>
      <c r="I65" s="187">
        <f>'Detallado de la inversión.'!G67</f>
        <v/>
      </c>
    </row>
    <row r="66">
      <c r="E66" s="55">
        <f>'Detallado de la inversión.'!C68</f>
        <v/>
      </c>
      <c r="F66" s="50" t="n"/>
      <c r="G66" s="187">
        <f>'Detallado de la inversión.'!E68</f>
        <v/>
      </c>
      <c r="H66" s="187">
        <f>'Detallado de la inversión.'!F68</f>
        <v/>
      </c>
      <c r="I66" s="187">
        <f>'Detallado de la inversión.'!G68</f>
        <v/>
      </c>
    </row>
    <row r="67">
      <c r="E67" s="55">
        <f>'Detallado de la inversión.'!C69</f>
        <v/>
      </c>
      <c r="F67" s="50" t="n"/>
      <c r="G67" s="187">
        <f>'Detallado de la inversión.'!E69</f>
        <v/>
      </c>
      <c r="H67" s="187">
        <f>'Detallado de la inversión.'!F69</f>
        <v/>
      </c>
      <c r="I67" s="187">
        <f>'Detallado de la inversión.'!G69</f>
        <v/>
      </c>
    </row>
    <row r="68" ht="15" customHeight="1" s="44">
      <c r="E68" s="55">
        <f>'Detallado de la inversión.'!C70</f>
        <v/>
      </c>
      <c r="F68" s="50" t="n"/>
      <c r="G68" s="187">
        <f>'Detallado de la inversión.'!E70</f>
        <v/>
      </c>
      <c r="H68" s="187">
        <f>'Detallado de la inversión.'!F70</f>
        <v/>
      </c>
      <c r="I68" s="187">
        <f>'Detallado de la inversión.'!G70</f>
        <v/>
      </c>
    </row>
    <row r="69" ht="15" customHeight="1" s="44">
      <c r="E69" s="56">
        <f>'Detallado de la inversión.'!C81</f>
        <v/>
      </c>
      <c r="F69" s="57" t="n"/>
      <c r="I69" s="192">
        <f>'Detallado de la inversión.'!G81</f>
        <v/>
      </c>
    </row>
    <row r="71">
      <c r="E71" s="61" t="inlineStr">
        <is>
          <t>Materia prima: No aplica — marketplace SaaS (~154 USD/mes hosting/SMS en ESTA SI VALE).</t>
        </is>
      </c>
      <c r="F71" s="46" t="n"/>
      <c r="G71" s="46" t="n"/>
      <c r="H71" s="46" t="n"/>
      <c r="I71" s="50" t="n"/>
    </row>
    <row r="73">
      <c r="E73" s="62" t="inlineStr">
        <is>
          <t>Validación: Fase 0 − one-shots − mkt pre (ops burn)</t>
        </is>
      </c>
      <c r="F73" s="50" t="n"/>
      <c r="I73" s="187">
        <f>'Detallado de la inversión.'!G93</f>
        <v/>
      </c>
    </row>
    <row r="74" ht="15" customHeight="1" s="44"/>
    <row r="75" ht="15" customHeight="1" s="44">
      <c r="E75" s="189" t="inlineStr">
        <is>
          <t>Subtotal Fase 0 (T+0→Day-D)</t>
        </is>
      </c>
      <c r="F75" s="48" t="n"/>
      <c r="I75" s="189">
        <f>'Detallado de la inversión.'!G87</f>
        <v/>
      </c>
    </row>
  </sheetData>
  <mergeCells count="54">
    <mergeCell ref="E43:F43"/>
    <mergeCell ref="E50:F50"/>
    <mergeCell ref="E21:I21"/>
    <mergeCell ref="E24:F24"/>
    <mergeCell ref="E68:F68"/>
    <mergeCell ref="E62:I62"/>
    <mergeCell ref="E33:F33"/>
    <mergeCell ref="E67:F67"/>
    <mergeCell ref="E71:I71"/>
    <mergeCell ref="E42:F42"/>
    <mergeCell ref="E23:F23"/>
    <mergeCell ref="E52:F52"/>
    <mergeCell ref="E48:F48"/>
    <mergeCell ref="E64:F64"/>
    <mergeCell ref="E44:F44"/>
    <mergeCell ref="E73:F73"/>
    <mergeCell ref="E35:F35"/>
    <mergeCell ref="E51:F51"/>
    <mergeCell ref="E20:F20"/>
    <mergeCell ref="E38:F38"/>
    <mergeCell ref="E29:F29"/>
    <mergeCell ref="E63:F63"/>
    <mergeCell ref="E56:I56"/>
    <mergeCell ref="E28:F28"/>
    <mergeCell ref="E19:I19"/>
    <mergeCell ref="E69:F69"/>
    <mergeCell ref="E60:F60"/>
    <mergeCell ref="E31:I31"/>
    <mergeCell ref="E40:I40"/>
    <mergeCell ref="E65:F65"/>
    <mergeCell ref="E9:I9"/>
    <mergeCell ref="E34:F34"/>
    <mergeCell ref="E59:F59"/>
    <mergeCell ref="E46:I46"/>
    <mergeCell ref="E49:F49"/>
    <mergeCell ref="E27:F27"/>
    <mergeCell ref="E36:F36"/>
    <mergeCell ref="E26:F26"/>
    <mergeCell ref="K25:M25"/>
    <mergeCell ref="E57:F57"/>
    <mergeCell ref="E54:F54"/>
    <mergeCell ref="E7:I7"/>
    <mergeCell ref="E32:F32"/>
    <mergeCell ref="K9:M9"/>
    <mergeCell ref="E25:F25"/>
    <mergeCell ref="E41:F41"/>
    <mergeCell ref="E75:F75"/>
    <mergeCell ref="E37:F37"/>
    <mergeCell ref="E53:F53"/>
    <mergeCell ref="E66:F66"/>
    <mergeCell ref="E22:F22"/>
    <mergeCell ref="E58:F58"/>
    <mergeCell ref="E47:F47"/>
    <mergeCell ref="E18:I18"/>
  </mergeCell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1:M69"/>
  <sheetViews>
    <sheetView zoomScale="95" zoomScaleNormal="95" workbookViewId="0">
      <selection activeCell="E8" sqref="E8:F8"/>
    </sheetView>
  </sheetViews>
  <sheetFormatPr baseColWidth="10" defaultColWidth="8.6640625" defaultRowHeight="14.4"/>
  <cols>
    <col width="38" customWidth="1" style="44" min="2" max="2"/>
    <col width="14.5546875" customWidth="1" style="44" min="5" max="5"/>
    <col width="8" customWidth="1" style="44" min="6" max="6"/>
    <col width="10" customWidth="1" style="44" min="7" max="7"/>
    <col width="14" customWidth="1" style="44" min="8" max="8"/>
    <col width="10" customWidth="1" style="44" min="9" max="9"/>
    <col width="13.6640625" customWidth="1" style="44" min="10" max="10"/>
    <col width="14" customWidth="1" style="44" min="11" max="11"/>
    <col width="28" customWidth="1" style="44" min="12" max="12"/>
    <col width="14" customWidth="1" style="44" min="13" max="13"/>
  </cols>
  <sheetData>
    <row r="1" ht="88.8" customHeight="1" s="44">
      <c r="E1" s="64" t="inlineStr">
        <is>
          <t>Zonix Pharma — inversión Fase 0 (espejo Detallado v3.9.1)</t>
        </is>
      </c>
      <c r="L1" s="32" t="inlineStr">
        <is>
          <t>RESUMEN CAPEX (v3.9.1)</t>
        </is>
      </c>
    </row>
    <row r="2" ht="26.85" customHeight="1" s="44">
      <c r="L2" s="49" t="inlineStr">
        <is>
          <t>Refs informativas — HQ ya en one-shots; no sumar CapEx + TOTAL SAFE.</t>
        </is>
      </c>
    </row>
    <row r="3" ht="39.6" customHeight="1" s="44">
      <c r="E3" s="49" t="inlineStr">
        <is>
          <t>Datos ZonixPharma — enlaces a Detallado. One-shots en Hoja3 Sección A. No sumar bloques al TOTAL SAFE. Marketplace SaaS (sin rubros producción física).</t>
        </is>
      </c>
      <c r="L3" s="55" t="inlineStr">
        <is>
          <t>Inversión CapEx HQ</t>
        </is>
      </c>
      <c r="M3" s="187">
        <f>'Detallado de la inversión.'!G81</f>
        <v/>
      </c>
    </row>
    <row r="4">
      <c r="L4" s="55" t="inlineStr">
        <is>
          <t>% CapEx / TOTAL SAFE Lean</t>
        </is>
      </c>
      <c r="M4" s="188">
        <f>M3/'Detallado de la inversión.'!G127</f>
        <v/>
      </c>
    </row>
    <row r="5">
      <c r="E5" s="53" t="inlineStr">
        <is>
          <t>Descripción</t>
        </is>
      </c>
      <c r="F5" s="50" t="n"/>
      <c r="G5" s="53" t="inlineStr">
        <is>
          <t>Cant.</t>
        </is>
      </c>
      <c r="H5" s="53" t="inlineStr">
        <is>
          <t>USD/u</t>
        </is>
      </c>
      <c r="I5" s="53" t="inlineStr">
        <is>
          <t>Total USD</t>
        </is>
      </c>
      <c r="J5" s="53" t="inlineStr">
        <is>
          <t>% SAFE</t>
        </is>
      </c>
      <c r="L5" s="55" t="inlineStr">
        <is>
          <t>TOTAL SAFE Lean (ref.)</t>
        </is>
      </c>
      <c r="M5" s="187">
        <f>'Detallado de la inversión.'!G127</f>
        <v/>
      </c>
    </row>
    <row r="6">
      <c r="E6" s="58" t="inlineStr">
        <is>
          <t>equipos</t>
        </is>
      </c>
      <c r="F6" s="46" t="n"/>
      <c r="G6" s="46" t="n"/>
      <c r="H6" s="46" t="n"/>
      <c r="I6" s="50" t="n"/>
      <c r="L6" s="55" t="inlineStr">
        <is>
          <t>Burn mensual ref. (MO+mkt)</t>
        </is>
      </c>
      <c r="M6" s="187">
        <f>'Detallado de la inversión.'!G107+'Detallado de la inversión.'!G121</f>
        <v/>
      </c>
    </row>
    <row r="7">
      <c r="E7" s="59">
        <f>'Detallado de la inversión.'!C67</f>
        <v/>
      </c>
      <c r="F7" s="50" t="n"/>
      <c r="G7" s="193">
        <f>'Detallado de la inversión.'!E67</f>
        <v/>
      </c>
      <c r="H7" s="193">
        <f>'Detallado de la inversión.'!F67</f>
        <v/>
      </c>
      <c r="I7" s="193">
        <f>'Detallado de la inversión.'!G67</f>
        <v/>
      </c>
      <c r="J7" s="194">
        <f>'Detallado de la inversión.'!H67</f>
        <v/>
      </c>
      <c r="L7" s="55" t="inlineStr">
        <is>
          <t>Reserva caja (ref.)</t>
        </is>
      </c>
      <c r="M7" s="187">
        <f>'Detallado de la inversión.'!G126</f>
        <v/>
      </c>
    </row>
    <row r="8">
      <c r="E8" s="59">
        <f>'Detallado de la inversión.'!C68</f>
        <v/>
      </c>
      <c r="F8" s="50" t="n"/>
      <c r="G8" s="193">
        <f>'Detallado de la inversión.'!E68</f>
        <v/>
      </c>
      <c r="H8" s="193">
        <f>'Detallado de la inversión.'!F68</f>
        <v/>
      </c>
      <c r="I8" s="193">
        <f>'Detallado de la inversión.'!G68</f>
        <v/>
      </c>
      <c r="J8" s="194">
        <f>'Detallado de la inversión.'!H68</f>
        <v/>
      </c>
      <c r="L8" s="55" t="inlineStr">
        <is>
          <t>% equity SAFE (ref.)</t>
        </is>
      </c>
      <c r="M8" s="188">
        <f>M5/600000</f>
        <v/>
      </c>
    </row>
    <row r="9">
      <c r="E9" s="59">
        <f>'Detallado de la inversión.'!C69</f>
        <v/>
      </c>
      <c r="F9" s="50" t="n"/>
      <c r="G9" s="193">
        <f>'Detallado de la inversión.'!E69</f>
        <v/>
      </c>
      <c r="H9" s="193">
        <f>'Detallado de la inversión.'!F69</f>
        <v/>
      </c>
      <c r="I9" s="193">
        <f>'Detallado de la inversión.'!G69</f>
        <v/>
      </c>
      <c r="J9" s="194">
        <f>'Detallado de la inversión.'!H69</f>
        <v/>
      </c>
    </row>
    <row r="10">
      <c r="E10" s="59">
        <f>'Detallado de la inversión.'!C70</f>
        <v/>
      </c>
      <c r="F10" s="50" t="n"/>
      <c r="G10" s="193">
        <f>'Detallado de la inversión.'!E70</f>
        <v/>
      </c>
      <c r="H10" s="193">
        <f>'Detallado de la inversión.'!F70</f>
        <v/>
      </c>
      <c r="I10" s="193">
        <f>'Detallado de la inversión.'!G70</f>
        <v/>
      </c>
      <c r="J10" s="194">
        <f>'Detallado de la inversión.'!H70</f>
        <v/>
      </c>
      <c r="L10" s="39" t="inlineStr">
        <is>
          <t>Use of funds → Hoja3 Sección A</t>
        </is>
      </c>
    </row>
    <row r="11" ht="15" customHeight="1" s="44"/>
    <row r="12" ht="15" customHeight="1" s="44">
      <c r="E12" s="65" t="inlineStr">
        <is>
          <t>Subtotal equipos (4 PCs)</t>
        </is>
      </c>
      <c r="F12" s="48" t="n"/>
      <c r="I12" s="192">
        <f>SUM('Detallado de la inversión.'!G67:G70)</f>
        <v/>
      </c>
      <c r="J12" s="192" t="n"/>
    </row>
    <row r="14">
      <c r="E14" s="58" t="inlineStr">
        <is>
          <t>adecuacion</t>
        </is>
      </c>
      <c r="F14" s="46" t="n"/>
      <c r="G14" s="46" t="n"/>
      <c r="H14" s="46" t="n"/>
      <c r="I14" s="50" t="n"/>
    </row>
    <row r="15">
      <c r="E15" s="59">
        <f>'Detallado de la inversión.'!C65</f>
        <v/>
      </c>
      <c r="F15" s="50" t="n"/>
      <c r="G15" s="193">
        <f>'Detallado de la inversión.'!E65</f>
        <v/>
      </c>
      <c r="H15" s="193">
        <f>'Detallado de la inversión.'!F65</f>
        <v/>
      </c>
      <c r="I15" s="193">
        <f>'Detallado de la inversión.'!G65</f>
        <v/>
      </c>
      <c r="J15" s="194">
        <f>'Detallado de la inversión.'!H65</f>
        <v/>
      </c>
    </row>
    <row r="16">
      <c r="E16" s="59">
        <f>'Detallado de la inversión.'!C66</f>
        <v/>
      </c>
      <c r="F16" s="50" t="n"/>
      <c r="G16" s="193">
        <f>'Detallado de la inversión.'!E66</f>
        <v/>
      </c>
      <c r="H16" s="193">
        <f>'Detallado de la inversión.'!F66</f>
        <v/>
      </c>
      <c r="I16" s="193">
        <f>'Detallado de la inversión.'!G66</f>
        <v/>
      </c>
      <c r="J16" s="194">
        <f>'Detallado de la inversión.'!H66</f>
        <v/>
      </c>
    </row>
    <row r="17" ht="15" customHeight="1" s="44"/>
    <row r="18" ht="15" customHeight="1" s="44">
      <c r="E18" s="65" t="inlineStr">
        <is>
          <t>Subtotal adecuación HQ</t>
        </is>
      </c>
      <c r="F18" s="48" t="n"/>
      <c r="I18" s="192">
        <f>SUM('Detallado de la inversión.'!G65:G66)</f>
        <v/>
      </c>
    </row>
    <row r="20">
      <c r="E20" s="58" t="inlineStr">
        <is>
          <t>mano de obra</t>
        </is>
      </c>
      <c r="F20" s="46" t="n"/>
      <c r="G20" s="46" t="n"/>
      <c r="H20" s="46" t="n"/>
      <c r="I20" s="50" t="n"/>
    </row>
    <row r="21">
      <c r="E21" s="59">
        <f>'Detallado de la inversión.'!C44</f>
        <v/>
      </c>
      <c r="F21" s="50" t="n"/>
      <c r="G21" s="193">
        <f>'Detallado de la inversión.'!E44</f>
        <v/>
      </c>
      <c r="H21" s="193">
        <f>'Detallado de la inversión.'!F44</f>
        <v/>
      </c>
      <c r="I21" s="193">
        <f>'Detallado de la inversión.'!G44</f>
        <v/>
      </c>
      <c r="J21" s="194">
        <f>'Detallado de la inversión.'!H44</f>
        <v/>
      </c>
    </row>
    <row r="22">
      <c r="E22" s="59">
        <f>'Detallado de la inversión.'!C46</f>
        <v/>
      </c>
      <c r="F22" s="50" t="n"/>
      <c r="G22" s="193">
        <f>'Detallado de la inversión.'!E46</f>
        <v/>
      </c>
      <c r="H22" s="193">
        <f>'Detallado de la inversión.'!F46</f>
        <v/>
      </c>
      <c r="I22" s="193">
        <f>'Detallado de la inversión.'!G46</f>
        <v/>
      </c>
      <c r="J22" s="194">
        <f>'Detallado de la inversión.'!H46</f>
        <v/>
      </c>
    </row>
    <row r="23">
      <c r="E23" s="59">
        <f>'Detallado de la inversión.'!C47</f>
        <v/>
      </c>
      <c r="F23" s="50" t="n"/>
      <c r="G23" s="193">
        <f>'Detallado de la inversión.'!E47</f>
        <v/>
      </c>
      <c r="H23" s="193">
        <f>'Detallado de la inversión.'!F47</f>
        <v/>
      </c>
      <c r="I23" s="193">
        <f>'Detallado de la inversión.'!G47</f>
        <v/>
      </c>
      <c r="J23" s="194">
        <f>'Detallado de la inversión.'!H47</f>
        <v/>
      </c>
    </row>
    <row r="24">
      <c r="E24" s="59">
        <f>'Detallado de la inversión.'!C48</f>
        <v/>
      </c>
      <c r="F24" s="50" t="n"/>
      <c r="G24" s="193">
        <f>'Detallado de la inversión.'!E48</f>
        <v/>
      </c>
      <c r="H24" s="193">
        <f>'Detallado de la inversión.'!F48</f>
        <v/>
      </c>
      <c r="I24" s="193">
        <f>'Detallado de la inversión.'!G48</f>
        <v/>
      </c>
      <c r="J24" s="194">
        <f>'Detallado de la inversión.'!H48</f>
        <v/>
      </c>
    </row>
    <row r="25">
      <c r="E25" s="59">
        <f>'Detallado de la inversión.'!C49</f>
        <v/>
      </c>
      <c r="F25" s="50" t="n"/>
      <c r="G25" s="193">
        <f>'Detallado de la inversión.'!E49</f>
        <v/>
      </c>
      <c r="H25" s="193">
        <f>'Detallado de la inversión.'!F49</f>
        <v/>
      </c>
      <c r="I25" s="193">
        <f>'Detallado de la inversión.'!G49</f>
        <v/>
      </c>
      <c r="J25" s="194">
        <f>'Detallado de la inversión.'!H49</f>
        <v/>
      </c>
    </row>
    <row r="26">
      <c r="E26" s="59">
        <f>'Detallado de la inversión.'!C50</f>
        <v/>
      </c>
      <c r="F26" s="50" t="n"/>
      <c r="G26" s="193">
        <f>'Detallado de la inversión.'!E50</f>
        <v/>
      </c>
      <c r="H26" s="193">
        <f>'Detallado de la inversión.'!F50</f>
        <v/>
      </c>
      <c r="I26" s="193">
        <f>'Detallado de la inversión.'!G50</f>
        <v/>
      </c>
      <c r="J26" s="194">
        <f>'Detallado de la inversión.'!H50</f>
        <v/>
      </c>
    </row>
    <row r="27">
      <c r="E27" s="59">
        <f>'Detallado de la inversión.'!C51</f>
        <v/>
      </c>
      <c r="F27" s="50" t="n"/>
      <c r="G27" s="193">
        <f>'Detallado de la inversión.'!E51</f>
        <v/>
      </c>
      <c r="H27" s="193">
        <f>'Detallado de la inversión.'!F51</f>
        <v/>
      </c>
      <c r="I27" s="193">
        <f>'Detallado de la inversión.'!G51</f>
        <v/>
      </c>
      <c r="J27" s="194">
        <f>'Detallado de la inversión.'!H51</f>
        <v/>
      </c>
    </row>
    <row r="28">
      <c r="E28" s="60">
        <f>'Detallado de la inversión.'!C52</f>
        <v/>
      </c>
      <c r="I28" s="193">
        <f>'Detallado de la inversión.'!G52</f>
        <v/>
      </c>
      <c r="J28" s="194">
        <f>'Detallado de la inversión.'!H52</f>
        <v/>
      </c>
    </row>
    <row r="30">
      <c r="E30" s="58" t="inlineStr">
        <is>
          <t>transporte</t>
        </is>
      </c>
      <c r="F30" s="46" t="n"/>
      <c r="G30" s="46" t="n"/>
      <c r="H30" s="46" t="n"/>
      <c r="I30" s="50" t="n"/>
    </row>
    <row r="31">
      <c r="E31" s="59">
        <f>'Detallado de la inversión.'!C57</f>
        <v/>
      </c>
      <c r="F31" s="50" t="n"/>
      <c r="G31" s="193">
        <f>'Detallado de la inversión.'!E57</f>
        <v/>
      </c>
      <c r="H31" s="193">
        <f>'Detallado de la inversión.'!F57</f>
        <v/>
      </c>
      <c r="I31" s="193">
        <f>'Detallado de la inversión.'!G57</f>
        <v/>
      </c>
      <c r="J31" s="194">
        <f>'Detallado de la inversión.'!H57</f>
        <v/>
      </c>
    </row>
    <row r="32">
      <c r="E32" s="59">
        <f>'Detallado de la inversión.'!C58</f>
        <v/>
      </c>
      <c r="F32" s="50" t="n"/>
      <c r="G32" s="193">
        <f>'Detallado de la inversión.'!E58</f>
        <v/>
      </c>
      <c r="H32" s="193">
        <f>'Detallado de la inversión.'!F58</f>
        <v/>
      </c>
      <c r="I32" s="193">
        <f>'Detallado de la inversión.'!G58</f>
        <v/>
      </c>
      <c r="J32" s="194">
        <f>'Detallado de la inversión.'!H58</f>
        <v/>
      </c>
    </row>
    <row r="33">
      <c r="E33" s="59">
        <f>'Detallado de la inversión.'!C61</f>
        <v/>
      </c>
      <c r="F33" s="50" t="n"/>
      <c r="G33" s="193">
        <f>'Detallado de la inversión.'!E61</f>
        <v/>
      </c>
      <c r="H33" s="193">
        <f>'Detallado de la inversión.'!F61</f>
        <v/>
      </c>
      <c r="I33" s="193">
        <f>'Detallado de la inversión.'!G61</f>
        <v/>
      </c>
      <c r="J33" s="194">
        <f>'Detallado de la inversión.'!H61</f>
        <v/>
      </c>
    </row>
    <row r="34">
      <c r="E34" s="60">
        <f>'Detallado de la inversión.'!C62</f>
        <v/>
      </c>
      <c r="I34" s="193">
        <f>'Detallado de la inversión.'!G62</f>
        <v/>
      </c>
      <c r="J34" s="194">
        <f>'Detallado de la inversión.'!H62</f>
        <v/>
      </c>
    </row>
    <row r="36">
      <c r="E36" s="58" t="inlineStr">
        <is>
          <t>alquiler</t>
        </is>
      </c>
      <c r="F36" s="46" t="n"/>
      <c r="G36" s="46" t="n"/>
      <c r="H36" s="46" t="n"/>
      <c r="I36" s="50" t="n"/>
    </row>
    <row r="37">
      <c r="E37" s="59">
        <f>'Detallado de la inversión.'!C112</f>
        <v/>
      </c>
      <c r="F37" s="50" t="n"/>
      <c r="G37" s="59">
        <f>'Detallado de la inversión.'!E112</f>
        <v/>
      </c>
      <c r="H37" s="193">
        <f>'Detallado de la inversión.'!F112</f>
        <v/>
      </c>
      <c r="I37" s="193">
        <f>'Detallado de la inversión.'!G112</f>
        <v/>
      </c>
      <c r="J37" s="194">
        <f>'Detallado de la inversión.'!H112</f>
        <v/>
      </c>
    </row>
    <row r="39" ht="26.85" customHeight="1" s="44">
      <c r="E39" s="49" t="inlineStr">
        <is>
          <t>Depósito HQ (one-shot) incluido en bloque adecuación. Arriendo mensual post-Day-D — ref. burn Detallado.</t>
        </is>
      </c>
    </row>
    <row r="41">
      <c r="E41" s="58" t="inlineStr">
        <is>
          <t>constitucion empresa y permisos</t>
        </is>
      </c>
      <c r="F41" s="46" t="n"/>
      <c r="G41" s="46" t="n"/>
      <c r="H41" s="46" t="n"/>
      <c r="I41" s="50" t="n"/>
    </row>
    <row r="42">
      <c r="E42" s="59">
        <f>'Detallado de la inversión.'!C11</f>
        <v/>
      </c>
      <c r="F42" s="50" t="n"/>
      <c r="G42" s="193">
        <f>'Detallado de la inversión.'!E11</f>
        <v/>
      </c>
      <c r="H42" s="193">
        <f>'Detallado de la inversión.'!F11</f>
        <v/>
      </c>
      <c r="I42" s="193">
        <f>'Detallado de la inversión.'!G11</f>
        <v/>
      </c>
      <c r="J42" s="194">
        <f>'Detallado de la inversión.'!H11</f>
        <v/>
      </c>
    </row>
    <row r="43">
      <c r="E43" s="59">
        <f>'Detallado de la inversión.'!C12</f>
        <v/>
      </c>
      <c r="F43" s="50" t="n"/>
      <c r="G43" s="193">
        <f>'Detallado de la inversión.'!E12</f>
        <v/>
      </c>
      <c r="H43" s="193">
        <f>'Detallado de la inversión.'!F12</f>
        <v/>
      </c>
      <c r="I43" s="193">
        <f>'Detallado de la inversión.'!G12</f>
        <v/>
      </c>
      <c r="J43" s="194">
        <f>'Detallado de la inversión.'!H12</f>
        <v/>
      </c>
    </row>
    <row r="44">
      <c r="E44" s="59">
        <f>'Detallado de la inversión.'!C13</f>
        <v/>
      </c>
      <c r="F44" s="50" t="n"/>
      <c r="G44" s="193">
        <f>'Detallado de la inversión.'!E13</f>
        <v/>
      </c>
      <c r="H44" s="193">
        <f>'Detallado de la inversión.'!F13</f>
        <v/>
      </c>
      <c r="I44" s="193">
        <f>'Detallado de la inversión.'!G13</f>
        <v/>
      </c>
      <c r="J44" s="194">
        <f>'Detallado de la inversión.'!H13</f>
        <v/>
      </c>
    </row>
    <row r="45">
      <c r="E45" s="59">
        <f>'Detallado de la inversión.'!C14</f>
        <v/>
      </c>
      <c r="F45" s="50" t="n"/>
      <c r="G45" s="193">
        <f>'Detallado de la inversión.'!E14</f>
        <v/>
      </c>
      <c r="H45" s="193">
        <f>'Detallado de la inversión.'!F14</f>
        <v/>
      </c>
      <c r="I45" s="193">
        <f>'Detallado de la inversión.'!G14</f>
        <v/>
      </c>
      <c r="J45" s="194">
        <f>'Detallado de la inversión.'!H14</f>
        <v/>
      </c>
    </row>
    <row r="46">
      <c r="E46" s="59">
        <f>'Detallado de la inversión.'!C15</f>
        <v/>
      </c>
      <c r="F46" s="50" t="n"/>
      <c r="G46" s="193">
        <f>'Detallado de la inversión.'!E15</f>
        <v/>
      </c>
      <c r="H46" s="193">
        <f>'Detallado de la inversión.'!F15</f>
        <v/>
      </c>
      <c r="I46" s="193">
        <f>'Detallado de la inversión.'!G15</f>
        <v/>
      </c>
      <c r="J46" s="194">
        <f>'Detallado de la inversión.'!H15</f>
        <v/>
      </c>
    </row>
    <row r="47">
      <c r="E47" s="59">
        <f>'Detallado de la inversión.'!C16</f>
        <v/>
      </c>
      <c r="F47" s="50" t="n"/>
      <c r="G47" s="193">
        <f>'Detallado de la inversión.'!E16</f>
        <v/>
      </c>
      <c r="H47" s="193">
        <f>'Detallado de la inversión.'!F16</f>
        <v/>
      </c>
      <c r="I47" s="193">
        <f>'Detallado de la inversión.'!G16</f>
        <v/>
      </c>
      <c r="J47" s="194">
        <f>'Detallado de la inversión.'!H16</f>
        <v/>
      </c>
    </row>
    <row r="48">
      <c r="E48" s="59">
        <f>'Detallado de la inversión.'!C17</f>
        <v/>
      </c>
      <c r="F48" s="50" t="n"/>
      <c r="G48" s="193">
        <f>'Detallado de la inversión.'!E17</f>
        <v/>
      </c>
      <c r="H48" s="193">
        <f>'Detallado de la inversión.'!F17</f>
        <v/>
      </c>
      <c r="I48" s="193">
        <f>'Detallado de la inversión.'!G17</f>
        <v/>
      </c>
      <c r="J48" s="194">
        <f>'Detallado de la inversión.'!H17</f>
        <v/>
      </c>
    </row>
    <row r="49">
      <c r="E49" s="60">
        <f>'Detallado de la inversión.'!C18</f>
        <v/>
      </c>
      <c r="I49" s="193">
        <f>'Detallado de la inversión.'!G18</f>
        <v/>
      </c>
      <c r="J49" s="194">
        <f>'Detallado de la inversión.'!H18</f>
        <v/>
      </c>
    </row>
    <row r="51">
      <c r="E51" s="58" t="inlineStr">
        <is>
          <t>marketing — intro mercado / demo</t>
        </is>
      </c>
      <c r="F51" s="46" t="n"/>
      <c r="G51" s="46" t="n"/>
      <c r="H51" s="46" t="n"/>
      <c r="I51" s="50" t="n"/>
    </row>
    <row r="52">
      <c r="E52" s="59">
        <f>'Detallado de la inversión.'!C25</f>
        <v/>
      </c>
      <c r="F52" s="50" t="n"/>
      <c r="G52" s="193">
        <f>'Detallado de la inversión.'!E25</f>
        <v/>
      </c>
      <c r="H52" s="193">
        <f>'Detallado de la inversión.'!F25</f>
        <v/>
      </c>
      <c r="I52" s="193">
        <f>'Detallado de la inversión.'!G25</f>
        <v/>
      </c>
      <c r="J52" s="194">
        <f>'Detallado de la inversión.'!H25</f>
        <v/>
      </c>
    </row>
    <row r="53">
      <c r="E53" s="59">
        <f>'Detallado de la inversión.'!C26</f>
        <v/>
      </c>
      <c r="F53" s="50" t="n"/>
      <c r="G53" s="193">
        <f>'Detallado de la inversión.'!E26</f>
        <v/>
      </c>
      <c r="H53" s="193">
        <f>'Detallado de la inversión.'!F26</f>
        <v/>
      </c>
      <c r="I53" s="193">
        <f>'Detallado de la inversión.'!G26</f>
        <v/>
      </c>
      <c r="J53" s="194">
        <f>'Detallado de la inversión.'!H26</f>
        <v/>
      </c>
    </row>
    <row r="54">
      <c r="E54" s="59">
        <f>'Detallado de la inversión.'!C27</f>
        <v/>
      </c>
      <c r="F54" s="50" t="n"/>
      <c r="G54" s="193">
        <f>'Detallado de la inversión.'!E27</f>
        <v/>
      </c>
      <c r="H54" s="193">
        <f>'Detallado de la inversión.'!F27</f>
        <v/>
      </c>
      <c r="I54" s="193">
        <f>'Detallado de la inversión.'!G27</f>
        <v/>
      </c>
      <c r="J54" s="194">
        <f>'Detallado de la inversión.'!H27</f>
        <v/>
      </c>
    </row>
    <row r="55">
      <c r="E55" s="59">
        <f>'Detallado de la inversión.'!C28</f>
        <v/>
      </c>
      <c r="F55" s="50" t="n"/>
      <c r="G55" s="193">
        <f>'Detallado de la inversión.'!E28</f>
        <v/>
      </c>
      <c r="H55" s="193">
        <f>'Detallado de la inversión.'!F28</f>
        <v/>
      </c>
      <c r="I55" s="193">
        <f>'Detallado de la inversión.'!G28</f>
        <v/>
      </c>
      <c r="J55" s="194">
        <f>'Detallado de la inversión.'!H28</f>
        <v/>
      </c>
    </row>
    <row r="56">
      <c r="E56" s="59">
        <f>'Detallado de la inversión.'!C30</f>
        <v/>
      </c>
      <c r="F56" s="50" t="n"/>
      <c r="G56" s="193">
        <f>'Detallado de la inversión.'!E30</f>
        <v/>
      </c>
      <c r="H56" s="193">
        <f>'Detallado de la inversión.'!F30</f>
        <v/>
      </c>
      <c r="I56" s="193">
        <f>'Detallado de la inversión.'!G30</f>
        <v/>
      </c>
      <c r="J56" s="194">
        <f>'Detallado de la inversión.'!H30</f>
        <v/>
      </c>
    </row>
    <row r="57">
      <c r="E57" s="59">
        <f>'Detallado de la inversión.'!C32</f>
        <v/>
      </c>
      <c r="F57" s="50" t="n"/>
      <c r="G57" s="193">
        <f>'Detallado de la inversión.'!E32</f>
        <v/>
      </c>
      <c r="H57" s="193">
        <f>'Detallado de la inversión.'!F32</f>
        <v/>
      </c>
      <c r="I57" s="193">
        <f>'Detallado de la inversión.'!G32</f>
        <v/>
      </c>
      <c r="J57" s="194">
        <f>'Detallado de la inversión.'!H32</f>
        <v/>
      </c>
    </row>
    <row r="58">
      <c r="E58" s="60">
        <f>'Detallado de la inversión.'!C33</f>
        <v/>
      </c>
      <c r="I58" s="193">
        <f>'Detallado de la inversión.'!G33</f>
        <v/>
      </c>
      <c r="J58" s="194">
        <f>'Detallado de la inversión.'!H33</f>
        <v/>
      </c>
    </row>
    <row r="60">
      <c r="E60" s="58" t="inlineStr">
        <is>
          <t>marketing — pre-lanzamiento (3 meses)</t>
        </is>
      </c>
      <c r="F60" s="46" t="n"/>
      <c r="G60" s="46" t="n"/>
      <c r="H60" s="46" t="n"/>
      <c r="I60" s="50" t="n"/>
    </row>
    <row r="61">
      <c r="E61" s="59">
        <f>'Detallado de la inversión.'!C36</f>
        <v/>
      </c>
      <c r="F61" s="50" t="n"/>
      <c r="G61" s="193">
        <f>'Detallado de la inversión.'!E36</f>
        <v/>
      </c>
      <c r="H61" s="193">
        <f>'Detallado de la inversión.'!F36</f>
        <v/>
      </c>
      <c r="I61" s="193">
        <f>'Detallado de la inversión.'!G36</f>
        <v/>
      </c>
      <c r="J61" s="194">
        <f>'Detallado de la inversión.'!H36</f>
        <v/>
      </c>
    </row>
    <row r="62">
      <c r="E62" s="59">
        <f>'Detallado de la inversión.'!C37</f>
        <v/>
      </c>
      <c r="F62" s="50" t="n"/>
      <c r="G62" s="193">
        <f>'Detallado de la inversión.'!E37</f>
        <v/>
      </c>
      <c r="H62" s="193">
        <f>'Detallado de la inversión.'!F37</f>
        <v/>
      </c>
      <c r="I62" s="193">
        <f>'Detallado de la inversión.'!G37</f>
        <v/>
      </c>
      <c r="J62" s="194">
        <f>'Detallado de la inversión.'!H37</f>
        <v/>
      </c>
    </row>
    <row r="63">
      <c r="E63" s="59">
        <f>'Detallado de la inversión.'!C38</f>
        <v/>
      </c>
      <c r="F63" s="50" t="n"/>
      <c r="G63" s="193">
        <f>'Detallado de la inversión.'!E38</f>
        <v/>
      </c>
      <c r="H63" s="193">
        <f>'Detallado de la inversión.'!F38</f>
        <v/>
      </c>
      <c r="I63" s="193">
        <f>'Detallado de la inversión.'!G38</f>
        <v/>
      </c>
      <c r="J63" s="194">
        <f>'Detallado de la inversión.'!H38</f>
        <v/>
      </c>
    </row>
    <row r="64">
      <c r="E64" s="60">
        <f>'Detallado de la inversión.'!C39</f>
        <v/>
      </c>
      <c r="I64" s="193">
        <f>'Detallado de la inversión.'!G39</f>
        <v/>
      </c>
      <c r="J64" s="194">
        <f>'Detallado de la inversión.'!H39</f>
        <v/>
      </c>
    </row>
    <row r="66">
      <c r="E66" s="58" t="inlineStr">
        <is>
          <t>materia (SaaS / hosting / SMS — marketplace)</t>
        </is>
      </c>
      <c r="F66" s="46" t="n"/>
      <c r="G66" s="46" t="n"/>
      <c r="H66" s="46" t="n"/>
      <c r="I66" s="50" t="n"/>
    </row>
    <row r="67">
      <c r="E67" s="59">
        <f>'Detallado de la inversión.'!C114</f>
        <v/>
      </c>
      <c r="F67" s="50" t="n"/>
      <c r="G67" s="59">
        <f>'Detallado de la inversión.'!E114</f>
        <v/>
      </c>
      <c r="H67" s="193">
        <f>'Detallado de la inversión.'!F114</f>
        <v/>
      </c>
      <c r="I67" s="193">
        <f>'Detallado de la inversión.'!G114</f>
        <v/>
      </c>
      <c r="J67" s="194">
        <f>'Detallado de la inversión.'!H114</f>
        <v/>
      </c>
    </row>
    <row r="69" ht="26.85" customHeight="1" s="44">
      <c r="E69" s="49" t="inlineStr">
        <is>
          <t>Equivalente digital marketplace (hosting/SMS). Desglose Detallado + unit economics → ESTA SI VALE (~154 USD/mes).</t>
        </is>
      </c>
    </row>
  </sheetData>
  <mergeCells count="56">
    <mergeCell ref="E43:F43"/>
    <mergeCell ref="E12:F12"/>
    <mergeCell ref="E3:I3"/>
    <mergeCell ref="L2:M2"/>
    <mergeCell ref="E55:F55"/>
    <mergeCell ref="E62:F62"/>
    <mergeCell ref="E24:F24"/>
    <mergeCell ref="E33:F33"/>
    <mergeCell ref="E67:F67"/>
    <mergeCell ref="E42:F42"/>
    <mergeCell ref="E69:J69"/>
    <mergeCell ref="E23:F23"/>
    <mergeCell ref="E5:F5"/>
    <mergeCell ref="E52:F52"/>
    <mergeCell ref="E48:F48"/>
    <mergeCell ref="E14:I14"/>
    <mergeCell ref="E8:F8"/>
    <mergeCell ref="E64:F64"/>
    <mergeCell ref="E44:F44"/>
    <mergeCell ref="E51:I51"/>
    <mergeCell ref="E20:I20"/>
    <mergeCell ref="E10:F10"/>
    <mergeCell ref="E63:F63"/>
    <mergeCell ref="E1:I1"/>
    <mergeCell ref="E28:F28"/>
    <mergeCell ref="E9:F9"/>
    <mergeCell ref="E60:I60"/>
    <mergeCell ref="E31:F31"/>
    <mergeCell ref="E34:F34"/>
    <mergeCell ref="E30:I30"/>
    <mergeCell ref="E46:F46"/>
    <mergeCell ref="E15:F15"/>
    <mergeCell ref="E6:I6"/>
    <mergeCell ref="E58:F58"/>
    <mergeCell ref="E49:F49"/>
    <mergeCell ref="E27:F27"/>
    <mergeCell ref="E45:F45"/>
    <mergeCell ref="E61:F61"/>
    <mergeCell ref="E36:I36"/>
    <mergeCell ref="E26:F26"/>
    <mergeCell ref="E57:F57"/>
    <mergeCell ref="E54:F54"/>
    <mergeCell ref="E16:F16"/>
    <mergeCell ref="E32:F32"/>
    <mergeCell ref="E7:F7"/>
    <mergeCell ref="E25:F25"/>
    <mergeCell ref="E18:F18"/>
    <mergeCell ref="E41:I41"/>
    <mergeCell ref="E39:J39"/>
    <mergeCell ref="E66:I66"/>
    <mergeCell ref="E37:F37"/>
    <mergeCell ref="E53:F53"/>
    <mergeCell ref="E22:F22"/>
    <mergeCell ref="E56:F56"/>
    <mergeCell ref="E47:F47"/>
    <mergeCell ref="E21:F21"/>
  </mergeCell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4"/>
  <sheetViews>
    <sheetView zoomScale="95" zoomScaleNormal="95" workbookViewId="0">
      <selection activeCell="A1" sqref="A1"/>
    </sheetView>
  </sheetViews>
  <sheetFormatPr baseColWidth="10" defaultColWidth="8.6640625" defaultRowHeight="14.4"/>
  <cols>
    <col width="19.88671875" customWidth="1" style="44" min="4" max="4"/>
    <col width="22.88671875" customWidth="1" style="44" min="5" max="5"/>
  </cols>
  <sheetData>
    <row r="1">
      <c r="C1" s="62" t="inlineStr">
        <is>
          <t>mensual</t>
        </is>
      </c>
    </row>
    <row r="2">
      <c r="B2" s="55" t="inlineStr">
        <is>
          <t>Meta Ads M1-6 (USD)</t>
        </is>
      </c>
      <c r="C2" s="187" t="n">
        <v>800</v>
      </c>
    </row>
    <row r="3">
      <c r="B3" s="55" t="inlineStr">
        <is>
          <t>Meta Ads M7-12 (USD)</t>
        </is>
      </c>
      <c r="C3" s="187" t="n">
        <v>500</v>
      </c>
    </row>
    <row r="4">
      <c r="B4" s="55" t="inlineStr">
        <is>
          <t>Valla pequeña desde M3 (USD)</t>
        </is>
      </c>
      <c r="C4" s="187" t="n">
        <v>350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E3:W88"/>
  <sheetViews>
    <sheetView zoomScale="95" zoomScaleNormal="95" workbookViewId="0">
      <selection activeCell="O11" sqref="O11"/>
    </sheetView>
  </sheetViews>
  <sheetFormatPr baseColWidth="10" defaultColWidth="8.6640625" defaultRowHeight="14.4"/>
  <cols>
    <col width="52.88671875" customWidth="1" style="44" min="5" max="5"/>
    <col width="13" customWidth="1" style="44" min="6" max="6"/>
    <col width="17.109375" customWidth="1" style="44" min="7" max="7"/>
    <col width="17.5546875" customWidth="1" style="44" min="8" max="8"/>
    <col width="15.5546875" customWidth="1" style="44" min="9" max="9"/>
    <col width="12" customWidth="1" style="44" min="10" max="10"/>
    <col width="15.33203125" customWidth="1" style="44" min="11" max="11"/>
    <col width="28" customWidth="1" style="44" min="13" max="13"/>
    <col width="15.5546875" customWidth="1" style="44" min="14" max="14"/>
    <col width="12" customWidth="1" style="44" min="15" max="15"/>
    <col width="29.109375" customWidth="1" style="44" min="16" max="16"/>
    <col width="12" customWidth="1" style="44" min="17" max="18"/>
    <col width="21.33203125" customWidth="1" style="44" min="19" max="19"/>
    <col width="12" customWidth="1" style="44" min="20" max="20"/>
    <col width="10" customWidth="1" style="44" min="21" max="21"/>
    <col width="12" customWidth="1" style="44" min="22" max="23"/>
  </cols>
  <sheetData>
    <row r="3" ht="15" customHeight="1" s="44">
      <c r="E3" s="49" t="inlineStr">
        <is>
          <t>Datos ZonixPharma — espejo Detallado/Hoja1. Bloques ESTA = vista due diligence. TOTAL SAFE oficial → Hoja3 §A. No sumar bloques al SAFE.</t>
        </is>
      </c>
    </row>
    <row r="7" ht="24.6" customHeight="1" s="44">
      <c r="E7" s="51" t="inlineStr">
        <is>
          <t>Zonix Pharma — ESTA SI VALE (espejo Pizza v3.9.1)</t>
        </is>
      </c>
      <c r="M7" s="32" t="inlineStr">
        <is>
          <t>Zonix Pharma — Unit economics y escenarios</t>
        </is>
      </c>
    </row>
    <row r="8" ht="24" customHeight="1" s="44">
      <c r="P8" s="33" t="inlineStr">
        <is>
          <t>gastos fijos mensuales (ref. burn/activas — no sumar SAFE)</t>
        </is>
      </c>
    </row>
    <row r="9">
      <c r="E9" s="53" t="inlineStr">
        <is>
          <t>Descripción</t>
        </is>
      </c>
      <c r="F9" s="50" t="n"/>
      <c r="G9" s="53" t="inlineStr">
        <is>
          <t>Cant.</t>
        </is>
      </c>
      <c r="H9" s="53" t="inlineStr">
        <is>
          <t>USD/u</t>
        </is>
      </c>
      <c r="I9" s="53" t="inlineStr">
        <is>
          <t>Total USD</t>
        </is>
      </c>
      <c r="J9" s="53" t="inlineStr">
        <is>
          <t>% SAFE</t>
        </is>
      </c>
      <c r="K9" s="53" t="inlineStr">
        <is>
          <t>Año 2 ref.</t>
        </is>
      </c>
      <c r="M9" s="53" t="inlineStr">
        <is>
          <t>Concepto</t>
        </is>
      </c>
      <c r="O9" s="53" t="inlineStr">
        <is>
          <t>Valor</t>
        </is>
      </c>
      <c r="S9" s="53" t="inlineStr">
        <is>
          <t>Fuente</t>
        </is>
      </c>
    </row>
    <row r="10">
      <c r="E10" s="28" t="inlineStr">
        <is>
          <t>Factor Año 2 MO (+40%)</t>
        </is>
      </c>
      <c r="K10" s="194" t="n">
        <v>0.4</v>
      </c>
      <c r="M10" s="55" t="inlineStr">
        <is>
          <t>ARPF placeholder (USD/mes)</t>
        </is>
      </c>
      <c r="O10" s="187" t="n">
        <v>50</v>
      </c>
      <c r="S10" s="55" t="inlineStr">
        <is>
          <t>UNIT_ECONOMICS</t>
        </is>
      </c>
    </row>
    <row r="11">
      <c r="E11" s="58" t="inlineStr">
        <is>
          <t>Mano de obra (Fase 0 — 3 meses)</t>
        </is>
      </c>
      <c r="F11" s="46" t="n"/>
      <c r="G11" s="46" t="n"/>
      <c r="H11" s="46" t="n"/>
      <c r="I11" s="50" t="n"/>
      <c r="M11" s="55" t="inlineStr">
        <is>
          <t>CAC farmacia (USD)</t>
        </is>
      </c>
      <c r="O11" s="187" t="n">
        <v>139</v>
      </c>
      <c r="S11" s="55" t="inlineStr">
        <is>
          <t>UNIT_ECONOMICS</t>
        </is>
      </c>
    </row>
    <row r="12">
      <c r="E12" s="59">
        <f>'Detallado de la inversión.'!C44</f>
        <v/>
      </c>
      <c r="F12" s="50" t="n"/>
      <c r="G12" s="193">
        <f>'Detallado de la inversión.'!E44</f>
        <v/>
      </c>
      <c r="H12" s="193">
        <f>'Detallado de la inversión.'!F44</f>
        <v/>
      </c>
      <c r="I12" s="193">
        <f>'Detallado de la inversión.'!G44</f>
        <v/>
      </c>
      <c r="J12" s="194">
        <f>'Detallado de la inversión.'!H44</f>
        <v/>
      </c>
      <c r="K12" s="193">
        <f>I12*(1+$K$10)</f>
        <v/>
      </c>
      <c r="M12" s="55" t="inlineStr">
        <is>
          <t>Churn mensual target</t>
        </is>
      </c>
      <c r="O12" s="188" t="n">
        <v>0.05</v>
      </c>
      <c r="P12" s="52" t="inlineStr">
        <is>
          <t>Escenario margen 50%-30%</t>
        </is>
      </c>
      <c r="Q12" s="35" t="n"/>
      <c r="S12" s="55" t="inlineStr">
        <is>
          <t>UNIT_ECONOMICS</t>
        </is>
      </c>
    </row>
    <row r="13">
      <c r="E13" s="59">
        <f>'Detallado de la inversión.'!C46</f>
        <v/>
      </c>
      <c r="F13" s="50" t="n"/>
      <c r="G13" s="193">
        <f>'Detallado de la inversión.'!E46</f>
        <v/>
      </c>
      <c r="H13" s="193">
        <f>'Detallado de la inversión.'!F46</f>
        <v/>
      </c>
      <c r="I13" s="193">
        <f>'Detallado de la inversión.'!G46</f>
        <v/>
      </c>
      <c r="J13" s="194">
        <f>'Detallado de la inversión.'!H46</f>
        <v/>
      </c>
      <c r="K13" s="193">
        <f>I13*(1+$K$10)</f>
        <v/>
      </c>
      <c r="M13" s="55" t="inlineStr">
        <is>
          <t>LTV (USD)</t>
        </is>
      </c>
      <c r="O13" s="187" t="n">
        <v>1000</v>
      </c>
      <c r="P13" s="59" t="inlineStr">
        <is>
          <t>Mes 1</t>
        </is>
      </c>
      <c r="Q13" s="193" t="e">
        <v>#VALUE!</v>
      </c>
      <c r="S13" s="55" t="inlineStr">
        <is>
          <t>UNIT_ECONOMICS</t>
        </is>
      </c>
    </row>
    <row r="14">
      <c r="E14" s="59">
        <f>'Detallado de la inversión.'!C47</f>
        <v/>
      </c>
      <c r="F14" s="50" t="n"/>
      <c r="G14" s="193">
        <f>'Detallado de la inversión.'!E47</f>
        <v/>
      </c>
      <c r="H14" s="193">
        <f>'Detallado de la inversión.'!F47</f>
        <v/>
      </c>
      <c r="I14" s="193">
        <f>'Detallado de la inversión.'!G47</f>
        <v/>
      </c>
      <c r="J14" s="194">
        <f>'Detallado de la inversión.'!H47</f>
        <v/>
      </c>
      <c r="K14" s="193">
        <f>I14*(1+$K$10)</f>
        <v/>
      </c>
      <c r="M14" s="55" t="inlineStr">
        <is>
          <t>LTV / CAC</t>
        </is>
      </c>
      <c r="O14" s="187" t="n">
        <v>7.2</v>
      </c>
      <c r="P14" s="59" t="inlineStr">
        <is>
          <t>Mes 2</t>
        </is>
      </c>
      <c r="Q14" s="193">
        <f>H55</f>
        <v/>
      </c>
      <c r="S14" s="55" t="inlineStr">
        <is>
          <t>UNIT_ECONOMICS</t>
        </is>
      </c>
    </row>
    <row r="15">
      <c r="E15" s="59">
        <f>'Detallado de la inversión.'!C48</f>
        <v/>
      </c>
      <c r="F15" s="50" t="n"/>
      <c r="G15" s="193">
        <f>'Detallado de la inversión.'!E48</f>
        <v/>
      </c>
      <c r="H15" s="193">
        <f>'Detallado de la inversión.'!F48</f>
        <v/>
      </c>
      <c r="I15" s="193">
        <f>'Detallado de la inversión.'!G48</f>
        <v/>
      </c>
      <c r="J15" s="194">
        <f>'Detallado de la inversión.'!H48</f>
        <v/>
      </c>
      <c r="K15" s="193">
        <f>I15*(1+$K$10)</f>
        <v/>
      </c>
      <c r="M15" s="55" t="inlineStr">
        <is>
          <t>Payback CAC (meses)</t>
        </is>
      </c>
      <c r="O15" s="187" t="n">
        <v>2.8</v>
      </c>
      <c r="P15" s="59" t="inlineStr">
        <is>
          <t>Mes 3</t>
        </is>
      </c>
      <c r="Q15" s="193">
        <f>H55</f>
        <v/>
      </c>
      <c r="S15" s="55" t="inlineStr">
        <is>
          <t>UNIT_ECONOMICS</t>
        </is>
      </c>
    </row>
    <row r="16">
      <c r="E16" s="59">
        <f>'Detallado de la inversión.'!C49</f>
        <v/>
      </c>
      <c r="F16" s="50" t="n"/>
      <c r="G16" s="193">
        <f>'Detallado de la inversión.'!E49</f>
        <v/>
      </c>
      <c r="H16" s="193">
        <f>'Detallado de la inversión.'!F49</f>
        <v/>
      </c>
      <c r="I16" s="193">
        <f>'Detallado de la inversión.'!G49</f>
        <v/>
      </c>
      <c r="J16" s="194">
        <f>'Detallado de la inversión.'!H49</f>
        <v/>
      </c>
      <c r="K16" s="193">
        <f>I16*(1+$K$10)</f>
        <v/>
      </c>
      <c r="M16" s="55" t="inlineStr">
        <is>
          <t>Margen bruto plataforma</t>
        </is>
      </c>
      <c r="O16" s="188" t="n">
        <v>0.92</v>
      </c>
      <c r="P16" s="59" t="inlineStr">
        <is>
          <t>TOTAL ref.</t>
        </is>
      </c>
      <c r="Q16" s="193">
        <f>SUM(Q13:Q15)</f>
        <v/>
      </c>
      <c r="S16" s="55" t="inlineStr">
        <is>
          <t>UNIT_ECONOMICS</t>
        </is>
      </c>
    </row>
    <row r="17">
      <c r="E17" s="59">
        <f>'Detallado de la inversión.'!C50</f>
        <v/>
      </c>
      <c r="F17" s="50" t="n"/>
      <c r="G17" s="193">
        <f>'Detallado de la inversión.'!E50</f>
        <v/>
      </c>
      <c r="H17" s="193">
        <f>'Detallado de la inversión.'!F50</f>
        <v/>
      </c>
      <c r="I17" s="193">
        <f>'Detallado de la inversión.'!G50</f>
        <v/>
      </c>
      <c r="J17" s="194">
        <f>'Detallado de la inversión.'!H50</f>
        <v/>
      </c>
      <c r="K17" s="193">
        <f>I17*(1+$K$10)</f>
        <v/>
      </c>
      <c r="M17" s="55" t="inlineStr">
        <is>
          <t>Cuota Basic (USD/mes)</t>
        </is>
      </c>
      <c r="O17" s="187" t="n">
        <v>25</v>
      </c>
      <c r="P17" s="52" t="inlineStr">
        <is>
          <t>Escenario margen 60%-40%</t>
        </is>
      </c>
      <c r="Q17" s="35" t="n"/>
      <c r="S17" s="55" t="inlineStr">
        <is>
          <t>PROPUESTA B2B §5</t>
        </is>
      </c>
    </row>
    <row r="18">
      <c r="E18" s="59">
        <f>'Detallado de la inversión.'!C51</f>
        <v/>
      </c>
      <c r="F18" s="50" t="n"/>
      <c r="G18" s="193">
        <f>'Detallado de la inversión.'!E51</f>
        <v/>
      </c>
      <c r="H18" s="193">
        <f>'Detallado de la inversión.'!F51</f>
        <v/>
      </c>
      <c r="I18" s="193">
        <f>'Detallado de la inversión.'!G51</f>
        <v/>
      </c>
      <c r="J18" s="194">
        <f>'Detallado de la inversión.'!H51</f>
        <v/>
      </c>
      <c r="K18" s="193">
        <f>I18*(1+$K$10)</f>
        <v/>
      </c>
      <c r="M18" s="55" t="inlineStr">
        <is>
          <t>Cuota Pro (USD/mes)</t>
        </is>
      </c>
      <c r="O18" s="187" t="n">
        <v>40</v>
      </c>
      <c r="P18" s="59" t="inlineStr">
        <is>
          <t>Mes 1</t>
        </is>
      </c>
      <c r="Q18" s="193" t="e">
        <v>#VALUE!</v>
      </c>
      <c r="S18" s="55" t="inlineStr">
        <is>
          <t>PROPUESTA B2B §5</t>
        </is>
      </c>
    </row>
    <row r="19">
      <c r="E19" s="60">
        <f>'Detallado de la inversión.'!C52</f>
        <v/>
      </c>
      <c r="I19" s="193">
        <f>'Detallado de la inversión.'!G52</f>
        <v/>
      </c>
      <c r="J19" s="194">
        <f>'Detallado de la inversión.'!H52</f>
        <v/>
      </c>
      <c r="K19" s="193">
        <f>SUM(K12:K18)</f>
        <v/>
      </c>
      <c r="M19" s="55" t="inlineStr">
        <is>
          <t>Cuota Enterprise (USD/mes)</t>
        </is>
      </c>
      <c r="O19" s="187" t="n">
        <v>55</v>
      </c>
      <c r="P19" s="59" t="inlineStr">
        <is>
          <t>Mes 2</t>
        </is>
      </c>
      <c r="Q19" s="193">
        <f>H55</f>
        <v/>
      </c>
      <c r="S19" s="55" t="inlineStr">
        <is>
          <t>PROPUESTA B2B §5</t>
        </is>
      </c>
    </row>
    <row r="20">
      <c r="M20" s="55" t="inlineStr">
        <is>
          <t>Mix Basic / Pro / Enterprise</t>
        </is>
      </c>
      <c r="O20" s="55" t="inlineStr">
        <is>
          <t>60/30/10</t>
        </is>
      </c>
      <c r="P20" s="59" t="inlineStr">
        <is>
          <t>Mes 3</t>
        </is>
      </c>
      <c r="Q20" s="193">
        <f>H55</f>
        <v/>
      </c>
      <c r="S20" s="55" t="inlineStr">
        <is>
          <t>PROYECCION §1.2</t>
        </is>
      </c>
    </row>
    <row r="21">
      <c r="E21" s="28" t="inlineStr">
        <is>
          <t>Factor Año 2 transporte (+30%)</t>
        </is>
      </c>
      <c r="K21" s="194" t="n">
        <v>0.3</v>
      </c>
      <c r="M21" s="55" t="inlineStr">
        <is>
          <t>Farmacias activas equilibrio Lean (M12 v3.3)</t>
        </is>
      </c>
      <c r="O21" s="187" t="n">
        <v>159</v>
      </c>
      <c r="P21" s="59" t="inlineStr">
        <is>
          <t>TOTAL ref.</t>
        </is>
      </c>
      <c r="Q21" s="193">
        <f>SUM(Q18:Q20)</f>
        <v/>
      </c>
      <c r="S21" s="55" t="inlineStr">
        <is>
          <t>PROYECCION — 4× Sales</t>
        </is>
      </c>
    </row>
    <row r="22">
      <c r="E22" s="58" t="inlineStr">
        <is>
          <t>Transporte local (B2B / demo)</t>
        </is>
      </c>
      <c r="F22" s="46" t="n"/>
      <c r="G22" s="46" t="n"/>
      <c r="H22" s="46" t="n"/>
      <c r="I22" s="50" t="n"/>
      <c r="P22" s="52" t="inlineStr">
        <is>
          <t>Escenario margen 70%-50%</t>
        </is>
      </c>
      <c r="Q22" s="35" t="n"/>
    </row>
    <row r="23">
      <c r="E23" s="59">
        <f>'Detallado de la inversión.'!C57</f>
        <v/>
      </c>
      <c r="F23" s="50" t="n"/>
      <c r="G23" s="193">
        <f>'Detallado de la inversión.'!E57</f>
        <v/>
      </c>
      <c r="H23" s="193">
        <f>'Detallado de la inversión.'!F57</f>
        <v/>
      </c>
      <c r="I23" s="193">
        <f>'Detallado de la inversión.'!G57</f>
        <v/>
      </c>
      <c r="J23" s="194">
        <f>'Detallado de la inversión.'!H57</f>
        <v/>
      </c>
      <c r="K23" s="193">
        <f>I23*(1+$K$21)</f>
        <v/>
      </c>
      <c r="M23" s="52" t="inlineStr">
        <is>
          <t>ESCENARIOS CAPITAL (tiers)</t>
        </is>
      </c>
      <c r="N23" s="52" t="n"/>
      <c r="O23" s="52" t="n"/>
      <c r="P23" s="52" t="inlineStr">
        <is>
          <t>Mes 1</t>
        </is>
      </c>
      <c r="Q23" s="195" t="e">
        <v>#VALUE!</v>
      </c>
    </row>
    <row r="24">
      <c r="E24" s="59">
        <f>'Detallado de la inversión.'!C58</f>
        <v/>
      </c>
      <c r="F24" s="50" t="n"/>
      <c r="G24" s="193">
        <f>'Detallado de la inversión.'!E58</f>
        <v/>
      </c>
      <c r="H24" s="193">
        <f>'Detallado de la inversión.'!F58</f>
        <v/>
      </c>
      <c r="I24" s="193">
        <f>'Detallado de la inversión.'!G58</f>
        <v/>
      </c>
      <c r="J24" s="194">
        <f>'Detallado de la inversión.'!H58</f>
        <v/>
      </c>
      <c r="K24" s="193">
        <f>I24*(1+$K$21)</f>
        <v/>
      </c>
      <c r="M24" s="55" t="inlineStr">
        <is>
          <t>Tier</t>
        </is>
      </c>
      <c r="O24" s="55" t="inlineStr">
        <is>
          <t>Capital</t>
        </is>
      </c>
      <c r="P24" s="59" t="inlineStr">
        <is>
          <t>Mes 2</t>
        </is>
      </c>
      <c r="Q24" s="193">
        <f>H55</f>
        <v/>
      </c>
      <c r="S24" s="55" t="inlineStr">
        <is>
          <t>SAFE cap</t>
        </is>
      </c>
    </row>
    <row r="25">
      <c r="E25" s="59">
        <f>'Detallado de la inversión.'!C61</f>
        <v/>
      </c>
      <c r="F25" s="50" t="n"/>
      <c r="G25" s="193">
        <f>'Detallado de la inversión.'!E61</f>
        <v/>
      </c>
      <c r="H25" s="193">
        <f>'Detallado de la inversión.'!F61</f>
        <v/>
      </c>
      <c r="I25" s="193">
        <f>'Detallado de la inversión.'!G61</f>
        <v/>
      </c>
      <c r="J25" s="194">
        <f>'Detallado de la inversión.'!H61</f>
        <v/>
      </c>
      <c r="K25" s="193">
        <f>I25*(1+$K$21)</f>
        <v/>
      </c>
      <c r="M25" s="55" t="inlineStr">
        <is>
          <t>Lean — bootstrap 4× Sales (Carabobo) — capital (USD)</t>
        </is>
      </c>
      <c r="O25" s="187" t="n">
        <v>111988</v>
      </c>
      <c r="P25" s="193" t="inlineStr">
        <is>
          <t>Mes 3</t>
        </is>
      </c>
      <c r="Q25" s="193">
        <f>H55</f>
        <v/>
      </c>
      <c r="S25" s="187" t="n">
        <v>600000</v>
      </c>
    </row>
    <row r="26">
      <c r="E26" s="60">
        <f>'Detallado de la inversión.'!C62</f>
        <v/>
      </c>
      <c r="I26" s="193">
        <f>'Detallado de la inversión.'!G62</f>
        <v/>
      </c>
      <c r="J26" s="194">
        <f>'Detallado de la inversión.'!H62</f>
        <v/>
      </c>
      <c r="K26" s="193">
        <f>SUM(K23:K25)</f>
        <v/>
      </c>
      <c r="M26" s="55" t="inlineStr">
        <is>
          <t>Lean+ — 4× Sales curva ×1,15 (mismo capital Lean) — capital (USD)</t>
        </is>
      </c>
      <c r="O26" s="187" t="n">
        <v>111988</v>
      </c>
      <c r="P26" s="193" t="inlineStr">
        <is>
          <t>TOTAL ref.</t>
        </is>
      </c>
      <c r="Q26" s="193">
        <f>SUM(Q23:Q25)</f>
        <v/>
      </c>
      <c r="S26" s="187" t="n">
        <v>600000</v>
      </c>
    </row>
    <row r="27">
      <c r="M27" s="55" t="inlineStr">
        <is>
          <t>Base — piso de mercado — capital (USD)</t>
        </is>
      </c>
      <c r="O27" s="187" t="n">
        <v>157268</v>
      </c>
      <c r="P27" s="187" t="n">
        <v>10898</v>
      </c>
      <c r="Q27" s="187" t="n">
        <v>159</v>
      </c>
      <c r="S27" s="187" t="n">
        <v>912814</v>
      </c>
    </row>
    <row r="28">
      <c r="E28" s="28" t="inlineStr">
        <is>
          <t>Constitución one-shot (sin escalación Año 2)</t>
        </is>
      </c>
      <c r="K28" s="194" t="n">
        <v>0</v>
      </c>
      <c r="M28" s="55" t="inlineStr">
        <is>
          <t>Growth — mercado pleno — capital (USD)</t>
        </is>
      </c>
      <c r="O28" s="187" t="n">
        <v>187478</v>
      </c>
      <c r="P28" s="187" t="n">
        <v>12698</v>
      </c>
      <c r="Q28" s="187" t="n">
        <v>159</v>
      </c>
      <c r="S28" s="187" t="n">
        <v>1205345</v>
      </c>
    </row>
    <row r="29">
      <c r="E29" s="58" t="inlineStr">
        <is>
          <t>Constitución empresa y permisos (C.A. — sin BPF/CPE piloto)</t>
        </is>
      </c>
      <c r="F29" s="46" t="n"/>
      <c r="G29" s="46" t="n"/>
      <c r="H29" s="46" t="n"/>
      <c r="I29" s="50" t="n"/>
      <c r="M29" s="55" t="inlineStr">
        <is>
          <t>Blitz — Carabobo 6× Sales — capital (USD)</t>
        </is>
      </c>
      <c r="O29" s="187" t="n">
        <v>184878</v>
      </c>
      <c r="P29" s="187" t="n">
        <v>11998</v>
      </c>
      <c r="Q29" s="187" t="n">
        <v>238</v>
      </c>
      <c r="S29" s="187" t="n">
        <v>1287681</v>
      </c>
    </row>
    <row r="30">
      <c r="E30" s="59">
        <f>'Detallado de la inversión.'!C11</f>
        <v/>
      </c>
      <c r="F30" s="50" t="n"/>
      <c r="G30" s="193">
        <f>'Detallado de la inversión.'!E11</f>
        <v/>
      </c>
      <c r="H30" s="193">
        <f>'Detallado de la inversión.'!F11</f>
        <v/>
      </c>
      <c r="I30" s="193">
        <f>'Detallado de la inversión.'!G11</f>
        <v/>
      </c>
      <c r="J30" s="194">
        <f>'Detallado de la inversión.'!H11</f>
        <v/>
      </c>
      <c r="K30" s="193">
        <f>I30*(1+$K$28)</f>
        <v/>
      </c>
    </row>
    <row r="31">
      <c r="E31" s="59">
        <f>'Detallado de la inversión.'!C12</f>
        <v/>
      </c>
      <c r="F31" s="50" t="n"/>
      <c r="G31" s="193">
        <f>'Detallado de la inversión.'!E12</f>
        <v/>
      </c>
      <c r="H31" s="193">
        <f>'Detallado de la inversión.'!F12</f>
        <v/>
      </c>
      <c r="I31" s="193">
        <f>'Detallado de la inversión.'!G12</f>
        <v/>
      </c>
      <c r="J31" s="194">
        <f>'Detallado de la inversión.'!H12</f>
        <v/>
      </c>
      <c r="K31" s="193">
        <f>I31*(1+$K$28)</f>
        <v/>
      </c>
      <c r="M31" s="52" t="inlineStr">
        <is>
          <t>ESCENARIOS PROYECCION §7 (P10/P50/P90)</t>
        </is>
      </c>
      <c r="N31" s="52" t="n"/>
      <c r="O31" s="52" t="n"/>
      <c r="P31" s="52" t="n"/>
      <c r="Q31" s="52" t="n"/>
    </row>
    <row r="32">
      <c r="E32" s="59">
        <f>'Detallado de la inversión.'!C13</f>
        <v/>
      </c>
      <c r="F32" s="50" t="n"/>
      <c r="G32" s="193">
        <f>'Detallado de la inversión.'!E13</f>
        <v/>
      </c>
      <c r="H32" s="193">
        <f>'Detallado de la inversión.'!F13</f>
        <v/>
      </c>
      <c r="I32" s="193">
        <f>'Detallado de la inversión.'!G13</f>
        <v/>
      </c>
      <c r="J32" s="194">
        <f>'Detallado de la inversión.'!H13</f>
        <v/>
      </c>
      <c r="K32" s="193">
        <f>I32*(1+$K$28)</f>
        <v/>
      </c>
      <c r="M32" s="55" t="inlineStr">
        <is>
          <t>Escenario</t>
        </is>
      </c>
      <c r="O32" s="55" t="inlineStr">
        <is>
          <t>Activas M12</t>
        </is>
      </c>
      <c r="P32" s="55" t="inlineStr">
        <is>
          <t>ARPF</t>
        </is>
      </c>
      <c r="Q32" s="55" t="inlineStr">
        <is>
          <t>Cash M12</t>
        </is>
      </c>
    </row>
    <row r="33">
      <c r="E33" s="59">
        <f>'Detallado de la inversión.'!C14</f>
        <v/>
      </c>
      <c r="F33" s="50" t="n"/>
      <c r="G33" s="193">
        <f>'Detallado de la inversión.'!E14</f>
        <v/>
      </c>
      <c r="H33" s="193">
        <f>'Detallado de la inversión.'!F14</f>
        <v/>
      </c>
      <c r="I33" s="193">
        <f>'Detallado de la inversión.'!G14</f>
        <v/>
      </c>
      <c r="J33" s="194">
        <f>'Detallado de la inversión.'!H14</f>
        <v/>
      </c>
      <c r="K33" s="193">
        <f>I33*(1+$K$28)</f>
        <v/>
      </c>
      <c r="M33" s="55" t="inlineStr">
        <is>
          <t>P10 pesimista</t>
        </is>
      </c>
      <c r="O33" s="187" t="n">
        <v>120</v>
      </c>
      <c r="P33" s="187" t="n">
        <v>40</v>
      </c>
      <c r="Q33" s="187" t="n">
        <v>25000</v>
      </c>
    </row>
    <row r="34">
      <c r="E34" s="59">
        <f>'Detallado de la inversión.'!C15</f>
        <v/>
      </c>
      <c r="F34" s="50" t="n"/>
      <c r="G34" s="193">
        <f>'Detallado de la inversión.'!E15</f>
        <v/>
      </c>
      <c r="H34" s="193">
        <f>'Detallado de la inversión.'!F15</f>
        <v/>
      </c>
      <c r="I34" s="193">
        <f>'Detallado de la inversión.'!G15</f>
        <v/>
      </c>
      <c r="J34" s="194">
        <f>'Detallado de la inversión.'!H15</f>
        <v/>
      </c>
      <c r="K34" s="193">
        <f>I34*(1+$K$28)</f>
        <v/>
      </c>
      <c r="M34" s="55" t="inlineStr">
        <is>
          <t>P50 base</t>
        </is>
      </c>
      <c r="O34" s="187" t="n">
        <v>159</v>
      </c>
      <c r="P34" s="187" t="n">
        <v>50</v>
      </c>
      <c r="Q34" s="187" t="n">
        <v>40831</v>
      </c>
    </row>
    <row r="35">
      <c r="E35" s="59">
        <f>'Detallado de la inversión.'!C16</f>
        <v/>
      </c>
      <c r="F35" s="50" t="n"/>
      <c r="G35" s="193">
        <f>'Detallado de la inversión.'!E16</f>
        <v/>
      </c>
      <c r="H35" s="193">
        <f>'Detallado de la inversión.'!F16</f>
        <v/>
      </c>
      <c r="I35" s="193">
        <f>'Detallado de la inversión.'!G16</f>
        <v/>
      </c>
      <c r="J35" s="194">
        <f>'Detallado de la inversión.'!H16</f>
        <v/>
      </c>
      <c r="K35" s="193">
        <f>I35*(1+$K$28)</f>
        <v/>
      </c>
      <c r="M35" s="55" t="inlineStr">
        <is>
          <t>P90 optimista</t>
        </is>
      </c>
      <c r="O35" s="187" t="n">
        <v>200</v>
      </c>
      <c r="P35" s="187" t="n">
        <v>55</v>
      </c>
      <c r="Q35" s="187" t="n">
        <v>52000</v>
      </c>
    </row>
    <row r="36">
      <c r="E36" s="59">
        <f>'Detallado de la inversión.'!C17</f>
        <v/>
      </c>
      <c r="F36" s="50" t="n"/>
      <c r="G36" s="193">
        <f>'Detallado de la inversión.'!E17</f>
        <v/>
      </c>
      <c r="H36" s="193">
        <f>'Detallado de la inversión.'!F17</f>
        <v/>
      </c>
      <c r="I36" s="193">
        <f>'Detallado de la inversión.'!G17</f>
        <v/>
      </c>
      <c r="J36" s="194">
        <f>'Detallado de la inversión.'!H17</f>
        <v/>
      </c>
      <c r="K36" s="193">
        <f>I36*(1+$K$28)</f>
        <v/>
      </c>
      <c r="M36" s="55" t="inlineStr">
        <is>
          <t>Lean+ stretch (4×, curva ×1,15)</t>
        </is>
      </c>
      <c r="O36" s="187" t="n">
        <v>183</v>
      </c>
      <c r="P36" s="187" t="n">
        <v>50</v>
      </c>
      <c r="Q36" s="187" t="n">
        <v>49825</v>
      </c>
    </row>
    <row r="37">
      <c r="E37" s="60">
        <f>'Detallado de la inversión.'!C18</f>
        <v/>
      </c>
      <c r="I37" s="193">
        <f>'Detallado de la inversión.'!G18</f>
        <v/>
      </c>
      <c r="J37" s="194">
        <f>'Detallado de la inversión.'!H18</f>
        <v/>
      </c>
      <c r="K37" s="193">
        <f>SUM(K30:K36)</f>
        <v/>
      </c>
      <c r="M37" s="55" t="inlineStr">
        <is>
          <t>Blitz stretch (6× Sales)</t>
        </is>
      </c>
      <c r="O37" s="187" t="n">
        <v>238</v>
      </c>
      <c r="P37" s="187" t="n">
        <v>50</v>
      </c>
      <c r="Q37" s="187" t="n">
        <v>87020</v>
      </c>
    </row>
    <row r="39">
      <c r="E39" s="28" t="inlineStr">
        <is>
          <t>Factor Año 2 intro/marketing (-50% one-shot)</t>
        </is>
      </c>
      <c r="K39" s="194" t="n">
        <v>-0.5</v>
      </c>
    </row>
    <row r="40">
      <c r="E40" s="58" t="inlineStr">
        <is>
          <t>Introducción al mercado; primeros 3 meses</t>
        </is>
      </c>
      <c r="F40" s="46" t="n"/>
      <c r="G40" s="46" t="n"/>
      <c r="H40" s="46" t="n"/>
      <c r="I40" s="50" t="n"/>
    </row>
    <row r="41">
      <c r="E41" s="59">
        <f>'Detallado de la inversión.'!C25</f>
        <v/>
      </c>
      <c r="F41" s="50" t="n"/>
      <c r="G41" s="193">
        <f>'Detallado de la inversión.'!E25</f>
        <v/>
      </c>
      <c r="H41" s="193">
        <f>'Detallado de la inversión.'!F25</f>
        <v/>
      </c>
      <c r="I41" s="193">
        <f>'Detallado de la inversión.'!G25</f>
        <v/>
      </c>
      <c r="J41" s="194">
        <f>'Detallado de la inversión.'!H25</f>
        <v/>
      </c>
      <c r="K41" s="193">
        <f>I41*(1+$K$39)</f>
        <v/>
      </c>
    </row>
    <row r="42">
      <c r="E42" s="59">
        <f>'Detallado de la inversión.'!C26</f>
        <v/>
      </c>
      <c r="F42" s="50" t="n"/>
      <c r="G42" s="193">
        <f>'Detallado de la inversión.'!E26</f>
        <v/>
      </c>
      <c r="H42" s="193">
        <f>'Detallado de la inversión.'!F26</f>
        <v/>
      </c>
      <c r="I42" s="193">
        <f>'Detallado de la inversión.'!G26</f>
        <v/>
      </c>
      <c r="J42" s="194">
        <f>'Detallado de la inversión.'!H26</f>
        <v/>
      </c>
      <c r="K42" s="193">
        <f>I42*(1+$K$39)</f>
        <v/>
      </c>
    </row>
    <row r="43">
      <c r="E43" s="59">
        <f>'Detallado de la inversión.'!C27</f>
        <v/>
      </c>
      <c r="F43" s="50" t="n"/>
      <c r="G43" s="193">
        <f>'Detallado de la inversión.'!E27</f>
        <v/>
      </c>
      <c r="H43" s="193">
        <f>'Detallado de la inversión.'!F27</f>
        <v/>
      </c>
      <c r="I43" s="193">
        <f>'Detallado de la inversión.'!G27</f>
        <v/>
      </c>
      <c r="J43" s="194">
        <f>'Detallado de la inversión.'!H27</f>
        <v/>
      </c>
      <c r="K43" s="193">
        <f>I43*(1+$K$39)</f>
        <v/>
      </c>
    </row>
    <row r="44">
      <c r="E44" s="59">
        <f>'Detallado de la inversión.'!C28</f>
        <v/>
      </c>
      <c r="F44" s="50" t="n"/>
      <c r="G44" s="193">
        <f>'Detallado de la inversión.'!E28</f>
        <v/>
      </c>
      <c r="H44" s="193">
        <f>'Detallado de la inversión.'!F28</f>
        <v/>
      </c>
      <c r="I44" s="193">
        <f>'Detallado de la inversión.'!G28</f>
        <v/>
      </c>
      <c r="J44" s="194">
        <f>'Detallado de la inversión.'!H28</f>
        <v/>
      </c>
      <c r="K44" s="193">
        <f>I44*(1+$K$39)</f>
        <v/>
      </c>
    </row>
    <row r="45">
      <c r="E45" s="59">
        <f>'Detallado de la inversión.'!C30</f>
        <v/>
      </c>
      <c r="F45" s="50" t="n"/>
      <c r="G45" s="193">
        <f>'Detallado de la inversión.'!E30</f>
        <v/>
      </c>
      <c r="H45" s="193">
        <f>'Detallado de la inversión.'!F30</f>
        <v/>
      </c>
      <c r="I45" s="193">
        <f>'Detallado de la inversión.'!G30</f>
        <v/>
      </c>
      <c r="J45" s="194">
        <f>'Detallado de la inversión.'!H30</f>
        <v/>
      </c>
      <c r="K45" s="193">
        <f>I45*(1+$K$39)</f>
        <v/>
      </c>
    </row>
    <row r="46">
      <c r="E46" s="59">
        <f>'Detallado de la inversión.'!C32</f>
        <v/>
      </c>
      <c r="F46" s="50" t="n"/>
      <c r="G46" s="193">
        <f>'Detallado de la inversión.'!E32</f>
        <v/>
      </c>
      <c r="H46" s="193">
        <f>'Detallado de la inversión.'!F32</f>
        <v/>
      </c>
      <c r="I46" s="193">
        <f>'Detallado de la inversión.'!G32</f>
        <v/>
      </c>
      <c r="J46" s="194">
        <f>'Detallado de la inversión.'!H32</f>
        <v/>
      </c>
      <c r="K46" s="193">
        <f>I46*(1+$K$39)</f>
        <v/>
      </c>
    </row>
    <row r="47">
      <c r="E47" s="60">
        <f>'Detallado de la inversión.'!C33</f>
        <v/>
      </c>
      <c r="I47" s="193">
        <f>'Detallado de la inversión.'!G33</f>
        <v/>
      </c>
      <c r="J47" s="194">
        <f>'Detallado de la inversión.'!H33</f>
        <v/>
      </c>
      <c r="K47" s="193">
        <f>I47*(1+$K$39)</f>
        <v/>
      </c>
    </row>
    <row r="49">
      <c r="E49" s="58" t="inlineStr">
        <is>
          <t>Marketing pre-lanzamiento (3 meses)</t>
        </is>
      </c>
      <c r="F49" s="46" t="n"/>
      <c r="G49" s="46" t="n"/>
      <c r="H49" s="46" t="n"/>
      <c r="I49" s="50" t="n"/>
    </row>
    <row r="50">
      <c r="E50" s="59">
        <f>'Detallado de la inversión.'!C36</f>
        <v/>
      </c>
      <c r="F50" s="50" t="n"/>
      <c r="G50" s="193">
        <f>'Detallado de la inversión.'!E36</f>
        <v/>
      </c>
      <c r="H50" s="193">
        <f>'Detallado de la inversión.'!F36</f>
        <v/>
      </c>
      <c r="I50" s="193">
        <f>'Detallado de la inversión.'!G36</f>
        <v/>
      </c>
      <c r="J50" s="194">
        <f>'Detallado de la inversión.'!H36</f>
        <v/>
      </c>
      <c r="K50" s="193">
        <f>I50*(1+$K$39)</f>
        <v/>
      </c>
    </row>
    <row r="51">
      <c r="E51" s="59">
        <f>'Detallado de la inversión.'!C37</f>
        <v/>
      </c>
      <c r="F51" s="50" t="n"/>
      <c r="G51" s="193">
        <f>'Detallado de la inversión.'!E37</f>
        <v/>
      </c>
      <c r="H51" s="193">
        <f>'Detallado de la inversión.'!F37</f>
        <v/>
      </c>
      <c r="I51" s="193">
        <f>'Detallado de la inversión.'!G37</f>
        <v/>
      </c>
      <c r="J51" s="194">
        <f>'Detallado de la inversión.'!H37</f>
        <v/>
      </c>
      <c r="K51" s="193">
        <f>I51*(1+$K$39)</f>
        <v/>
      </c>
    </row>
    <row r="52">
      <c r="E52" s="59">
        <f>'Detallado de la inversión.'!C38</f>
        <v/>
      </c>
      <c r="F52" s="50" t="n"/>
      <c r="G52" s="193">
        <f>'Detallado de la inversión.'!E38</f>
        <v/>
      </c>
      <c r="H52" s="193">
        <f>'Detallado de la inversión.'!F38</f>
        <v/>
      </c>
      <c r="I52" s="193">
        <f>'Detallado de la inversión.'!G38</f>
        <v/>
      </c>
      <c r="J52" s="194">
        <f>'Detallado de la inversión.'!H38</f>
        <v/>
      </c>
      <c r="K52" s="193">
        <f>I52*(1+$K$39)</f>
        <v/>
      </c>
    </row>
    <row r="53">
      <c r="E53" s="60">
        <f>'Detallado de la inversión.'!C39</f>
        <v/>
      </c>
      <c r="I53" s="193">
        <f>'Detallado de la inversión.'!G39</f>
        <v/>
      </c>
      <c r="J53" s="194">
        <f>'Detallado de la inversión.'!H39</f>
        <v/>
      </c>
      <c r="K53" s="193">
        <f>SUM(K41:K52)</f>
        <v/>
      </c>
    </row>
    <row r="55">
      <c r="E55" s="52" t="inlineStr">
        <is>
          <t>Promedio mensual intro + mkt pre (3 meses)</t>
        </is>
      </c>
      <c r="I55" s="193">
        <f>('Detallado de la inversión.'!G33+'Detallado de la inversión.'!G39)/3</f>
        <v/>
      </c>
      <c r="K55" s="193">
        <f>I55*(1+$K$39)</f>
        <v/>
      </c>
    </row>
    <row r="56" ht="15" customHeight="1" s="44">
      <c r="E56" s="49" t="inlineStr">
        <is>
          <t>CapEx HQ / equipos / SaaS mensual → Hoja1 + Detallado. Use-of-funds SAFE → Hoja3 §A. No sumar bloques ESTA al TOTAL SAFE.</t>
        </is>
      </c>
    </row>
    <row r="58">
      <c r="E58" s="52" t="inlineStr">
        <is>
          <t>BURN MENSUAL REF. (USD/mes) — enlazado Año 1</t>
        </is>
      </c>
      <c r="F58" s="52" t="n"/>
      <c r="G58" s="52" t="n"/>
      <c r="H58" s="52" t="n"/>
      <c r="I58" s="52" t="n"/>
      <c r="J58" s="52" t="n"/>
      <c r="K58" s="52" t="n"/>
      <c r="O58" s="34" t="inlineStr">
        <is>
          <t>SIMULADOR MARKETPLACE (espejo Año 1 — P50 base)</t>
        </is>
      </c>
    </row>
    <row r="59">
      <c r="E59" s="55" t="inlineStr">
        <is>
          <t>Concepto</t>
        </is>
      </c>
      <c r="I59" s="55" t="inlineStr">
        <is>
          <t>USD/mes</t>
        </is>
      </c>
      <c r="K59" s="55" t="inlineStr">
        <is>
          <t>Fuente</t>
        </is>
      </c>
      <c r="O59" s="53" t="inlineStr">
        <is>
          <t>Mes</t>
        </is>
      </c>
      <c r="P59" s="53" t="inlineStr">
        <is>
          <t>Costo/activa (burn÷activas)</t>
        </is>
      </c>
      <c r="Q59" s="53" t="inlineStr">
        <is>
          <t>Farmacias activas</t>
        </is>
      </c>
      <c r="R59" s="53" t="inlineStr">
        <is>
          <t>Costo total mes</t>
        </is>
      </c>
      <c r="S59" s="53" t="inlineStr">
        <is>
          <t>ARPF (USD)</t>
        </is>
      </c>
      <c r="T59" s="53" t="inlineStr">
        <is>
          <t>Revenue mes</t>
        </is>
      </c>
      <c r="U59" s="53" t="inlineStr">
        <is>
          <t>Util./activa</t>
        </is>
      </c>
      <c r="V59" s="53" t="inlineStr">
        <is>
          <t>Utilidad mes</t>
        </is>
      </c>
      <c r="W59" s="53" t="inlineStr">
        <is>
          <t>Escenario</t>
        </is>
      </c>
    </row>
    <row r="60">
      <c r="E60" s="55" t="inlineStr">
        <is>
          <t>Dev junior (Flutter/Laravel)</t>
        </is>
      </c>
      <c r="I60" s="187" t="n">
        <v>600</v>
      </c>
      <c r="K60" s="55" t="inlineStr">
        <is>
          <t>Nómina v3</t>
        </is>
      </c>
      <c r="O60" s="193" t="n">
        <v>1</v>
      </c>
      <c r="P60" s="193">
        <f>IF(Q60=0,0,'Año 1 escenario 1'!C44/Q60)</f>
        <v/>
      </c>
      <c r="Q60" s="193">
        <f>'Año 1 escenario 1'!C19</f>
        <v/>
      </c>
      <c r="R60" s="193">
        <f>'Año 1 escenario 1'!C44</f>
        <v/>
      </c>
      <c r="S60" s="193">
        <f>IF(Q60=0,0,'Año 1 escenario 1'!C25/Q60)</f>
        <v/>
      </c>
      <c r="T60" s="193">
        <f>'Año 1 escenario 1'!C25</f>
        <v/>
      </c>
      <c r="U60" s="193">
        <f>S60-P60</f>
        <v/>
      </c>
      <c r="V60" s="193">
        <f>'Año 1 escenario 1'!C46</f>
        <v/>
      </c>
      <c r="W60" s="59" t="inlineStr">
        <is>
          <t>P50 base</t>
        </is>
      </c>
    </row>
    <row r="61">
      <c r="E61" s="55" t="inlineStr">
        <is>
          <t>4× Sales B2B (base)</t>
        </is>
      </c>
      <c r="I61" s="187" t="n">
        <v>1400</v>
      </c>
      <c r="K61" s="55" t="inlineStr">
        <is>
          <t>PRESUPUESTO §2.3</t>
        </is>
      </c>
      <c r="O61" s="193" t="n">
        <v>2</v>
      </c>
      <c r="P61" s="193">
        <f>IF(Q61=0,0,'Año 1 escenario 1'!D44/Q61)</f>
        <v/>
      </c>
      <c r="Q61" s="193">
        <f>'Año 1 escenario 1'!D19</f>
        <v/>
      </c>
      <c r="R61" s="193">
        <f>'Año 1 escenario 1'!D44</f>
        <v/>
      </c>
      <c r="S61" s="193">
        <f>IF(Q61=0,0,'Año 1 escenario 1'!D25/Q61)</f>
        <v/>
      </c>
      <c r="T61" s="193">
        <f>'Año 1 escenario 1'!D25</f>
        <v/>
      </c>
      <c r="U61" s="193">
        <f>S61-P61</f>
        <v/>
      </c>
      <c r="V61" s="193">
        <f>'Año 1 escenario 1'!D46</f>
        <v/>
      </c>
      <c r="W61" s="59" t="inlineStr">
        <is>
          <t>P50 base</t>
        </is>
      </c>
    </row>
    <row r="62">
      <c r="E62" s="55" t="inlineStr">
        <is>
          <t>CS + Community Manager</t>
        </is>
      </c>
      <c r="I62" s="187" t="n">
        <v>400</v>
      </c>
      <c r="O62" s="193" t="n">
        <v>3</v>
      </c>
      <c r="P62" s="193">
        <f>IF(Q62=0,0,'Año 1 escenario 1'!E44/Q62)</f>
        <v/>
      </c>
      <c r="Q62" s="193">
        <f>'Año 1 escenario 1'!E19</f>
        <v/>
      </c>
      <c r="R62" s="193">
        <f>'Año 1 escenario 1'!E44</f>
        <v/>
      </c>
      <c r="S62" s="193">
        <f>IF(Q62=0,0,'Año 1 escenario 1'!E25/Q62)</f>
        <v/>
      </c>
      <c r="T62" s="193">
        <f>'Año 1 escenario 1'!E25</f>
        <v/>
      </c>
      <c r="U62" s="193">
        <f>S62-P62</f>
        <v/>
      </c>
      <c r="V62" s="193">
        <f>'Año 1 escenario 1'!E46</f>
        <v/>
      </c>
      <c r="W62" s="59" t="inlineStr">
        <is>
          <t>P50 base</t>
        </is>
      </c>
    </row>
    <row r="63">
      <c r="E63" s="55" t="inlineStr">
        <is>
          <t>Founder + Co-CEO</t>
        </is>
      </c>
      <c r="I63" s="187" t="n">
        <v>2000</v>
      </c>
      <c r="O63" s="193" t="n">
        <v>4</v>
      </c>
      <c r="P63" s="193">
        <f>IF(Q63=0,0,'Año 1 escenario 1'!F44/Q63)</f>
        <v/>
      </c>
      <c r="Q63" s="193">
        <f>'Año 1 escenario 1'!F19</f>
        <v/>
      </c>
      <c r="R63" s="193">
        <f>'Año 1 escenario 1'!F44</f>
        <v/>
      </c>
      <c r="S63" s="193">
        <f>IF(Q63=0,0,'Año 1 escenario 1'!F25/Q63)</f>
        <v/>
      </c>
      <c r="T63" s="193">
        <f>'Año 1 escenario 1'!F25</f>
        <v/>
      </c>
      <c r="U63" s="193">
        <f>S63-P63</f>
        <v/>
      </c>
      <c r="V63" s="193">
        <f>'Año 1 escenario 1'!F46</f>
        <v/>
      </c>
      <c r="W63" s="59" t="inlineStr">
        <is>
          <t>P50 base</t>
        </is>
      </c>
    </row>
    <row r="64">
      <c r="E64" s="55" t="inlineStr">
        <is>
          <t>Herramientas IA</t>
        </is>
      </c>
      <c r="I64" s="187" t="n">
        <v>425</v>
      </c>
      <c r="O64" s="193" t="n">
        <v>5</v>
      </c>
      <c r="P64" s="193">
        <f>IF(Q64=0,0,'Año 1 escenario 1'!G44/Q64)</f>
        <v/>
      </c>
      <c r="Q64" s="193">
        <f>'Año 1 escenario 1'!G19</f>
        <v/>
      </c>
      <c r="R64" s="193">
        <f>'Año 1 escenario 1'!G44</f>
        <v/>
      </c>
      <c r="S64" s="193">
        <f>IF(Q64=0,0,'Año 1 escenario 1'!G25/Q64)</f>
        <v/>
      </c>
      <c r="T64" s="193">
        <f>'Año 1 escenario 1'!G25</f>
        <v/>
      </c>
      <c r="U64" s="193">
        <f>S64-P64</f>
        <v/>
      </c>
      <c r="V64" s="193">
        <f>'Año 1 escenario 1'!G46</f>
        <v/>
      </c>
      <c r="W64" s="59" t="inlineStr">
        <is>
          <t>P50 base</t>
        </is>
      </c>
    </row>
    <row r="65">
      <c r="E65" s="55" t="inlineStr">
        <is>
          <t>Contador + Abogado</t>
        </is>
      </c>
      <c r="I65" s="187" t="n">
        <v>330</v>
      </c>
      <c r="O65" s="193" t="n">
        <v>6</v>
      </c>
      <c r="P65" s="193">
        <f>IF(Q65=0,0,'Año 1 escenario 1'!H44/Q65)</f>
        <v/>
      </c>
      <c r="Q65" s="193">
        <f>'Año 1 escenario 1'!H19</f>
        <v/>
      </c>
      <c r="R65" s="193">
        <f>'Año 1 escenario 1'!H44</f>
        <v/>
      </c>
      <c r="S65" s="193">
        <f>IF(Q65=0,0,'Año 1 escenario 1'!H25/Q65)</f>
        <v/>
      </c>
      <c r="T65" s="193">
        <f>'Año 1 escenario 1'!H25</f>
        <v/>
      </c>
      <c r="U65" s="193">
        <f>S65-P65</f>
        <v/>
      </c>
      <c r="V65" s="193">
        <f>'Año 1 escenario 1'!H46</f>
        <v/>
      </c>
      <c r="W65" s="59" t="inlineStr">
        <is>
          <t>P50 base</t>
        </is>
      </c>
    </row>
    <row r="66">
      <c r="E66" s="55" t="inlineStr">
        <is>
          <t>HQ casa (arriendo + servicios)</t>
        </is>
      </c>
      <c r="I66" s="187" t="n">
        <v>500</v>
      </c>
      <c r="O66" s="193" t="n">
        <v>7</v>
      </c>
      <c r="P66" s="193">
        <f>IF(Q66=0,0,'Año 1 escenario 1'!I44/Q66)</f>
        <v/>
      </c>
      <c r="Q66" s="193">
        <f>'Año 1 escenario 1'!I19</f>
        <v/>
      </c>
      <c r="R66" s="193">
        <f>'Año 1 escenario 1'!I44</f>
        <v/>
      </c>
      <c r="S66" s="193">
        <f>IF(Q66=0,0,'Año 1 escenario 1'!I25/Q66)</f>
        <v/>
      </c>
      <c r="T66" s="193">
        <f>'Año 1 escenario 1'!I25</f>
        <v/>
      </c>
      <c r="U66" s="193">
        <f>S66-P66</f>
        <v/>
      </c>
      <c r="V66" s="193">
        <f>'Año 1 escenario 1'!I46</f>
        <v/>
      </c>
      <c r="W66" s="59" t="inlineStr">
        <is>
          <t>P50 base</t>
        </is>
      </c>
    </row>
    <row r="67">
      <c r="E67" s="55" t="inlineStr">
        <is>
          <t>Servicios oficina</t>
        </is>
      </c>
      <c r="I67" s="187" t="n">
        <v>80</v>
      </c>
      <c r="K67" s="55" t="inlineStr">
        <is>
          <t>§2.3.1</t>
        </is>
      </c>
      <c r="O67" s="193" t="n">
        <v>8</v>
      </c>
      <c r="P67" s="193">
        <f>IF(Q67=0,0,'Año 1 escenario 1'!J44/Q67)</f>
        <v/>
      </c>
      <c r="Q67" s="193">
        <f>'Año 1 escenario 1'!J19</f>
        <v/>
      </c>
      <c r="R67" s="193">
        <f>'Año 1 escenario 1'!J44</f>
        <v/>
      </c>
      <c r="S67" s="193">
        <f>IF(Q67=0,0,'Año 1 escenario 1'!J25/Q67)</f>
        <v/>
      </c>
      <c r="T67" s="193">
        <f>'Año 1 escenario 1'!J25</f>
        <v/>
      </c>
      <c r="U67" s="193">
        <f>S67-P67</f>
        <v/>
      </c>
      <c r="V67" s="193">
        <f>'Año 1 escenario 1'!J46</f>
        <v/>
      </c>
      <c r="W67" s="59" t="inlineStr">
        <is>
          <t>P50 base</t>
        </is>
      </c>
    </row>
    <row r="68">
      <c r="E68" s="55" t="inlineStr">
        <is>
          <t>Hosting + SaaS + Firebase OTP</t>
        </is>
      </c>
      <c r="I68" s="187" t="n">
        <v>154</v>
      </c>
      <c r="K68" s="55" t="inlineStr">
        <is>
          <t>§2.3.1</t>
        </is>
      </c>
      <c r="O68" s="193" t="n">
        <v>9</v>
      </c>
      <c r="P68" s="193">
        <f>IF(Q68=0,0,'Año 1 escenario 1'!K44/Q68)</f>
        <v/>
      </c>
      <c r="Q68" s="193">
        <f>'Año 1 escenario 1'!K19</f>
        <v/>
      </c>
      <c r="R68" s="193">
        <f>'Año 1 escenario 1'!K44</f>
        <v/>
      </c>
      <c r="S68" s="193">
        <f>IF(Q68=0,0,'Año 1 escenario 1'!K25/Q68)</f>
        <v/>
      </c>
      <c r="T68" s="193">
        <f>'Año 1 escenario 1'!K25</f>
        <v/>
      </c>
      <c r="U68" s="193">
        <f>S68-P68</f>
        <v/>
      </c>
      <c r="V68" s="193">
        <f>'Año 1 escenario 1'!K46</f>
        <v/>
      </c>
      <c r="W68" s="59" t="inlineStr">
        <is>
          <t>P50 base</t>
        </is>
      </c>
    </row>
    <row r="69">
      <c r="E69" s="55" t="inlineStr">
        <is>
          <t>Meta Ads (prom.)</t>
        </is>
      </c>
      <c r="I69" s="187" t="n">
        <v>650</v>
      </c>
      <c r="K69" s="55" t="inlineStr">
        <is>
          <t>tramos</t>
        </is>
      </c>
      <c r="O69" s="193" t="n">
        <v>10</v>
      </c>
      <c r="P69" s="193">
        <f>IF(Q69=0,0,'Año 1 escenario 1'!L44/Q69)</f>
        <v/>
      </c>
      <c r="Q69" s="193">
        <f>'Año 1 escenario 1'!L19</f>
        <v/>
      </c>
      <c r="R69" s="193">
        <f>'Año 1 escenario 1'!L44</f>
        <v/>
      </c>
      <c r="S69" s="193">
        <f>IF(Q69=0,0,'Año 1 escenario 1'!L25/Q69)</f>
        <v/>
      </c>
      <c r="T69" s="193">
        <f>'Año 1 escenario 1'!L25</f>
        <v/>
      </c>
      <c r="U69" s="193">
        <f>S69-P69</f>
        <v/>
      </c>
      <c r="V69" s="193">
        <f>'Año 1 escenario 1'!L46</f>
        <v/>
      </c>
      <c r="W69" s="59" t="inlineStr">
        <is>
          <t>P50 base</t>
        </is>
      </c>
    </row>
    <row r="70">
      <c r="E70" s="55" t="inlineStr">
        <is>
          <t>Valla pequeña (desde M3)</t>
        </is>
      </c>
      <c r="I70" s="187" t="n">
        <v>292</v>
      </c>
      <c r="O70" s="193" t="n">
        <v>11</v>
      </c>
      <c r="P70" s="193">
        <f>IF(Q70=0,0,'Año 1 escenario 1'!M44/Q70)</f>
        <v/>
      </c>
      <c r="Q70" s="193">
        <f>'Año 1 escenario 1'!M19</f>
        <v/>
      </c>
      <c r="R70" s="193">
        <f>'Año 1 escenario 1'!M44</f>
        <v/>
      </c>
      <c r="S70" s="193">
        <f>IF(Q70=0,0,'Año 1 escenario 1'!M25/Q70)</f>
        <v/>
      </c>
      <c r="T70" s="193">
        <f>'Año 1 escenario 1'!M25</f>
        <v/>
      </c>
      <c r="U70" s="193">
        <f>S70-P70</f>
        <v/>
      </c>
      <c r="V70" s="193">
        <f>'Año 1 escenario 1'!M46</f>
        <v/>
      </c>
      <c r="W70" s="59" t="inlineStr">
        <is>
          <t>P50 base</t>
        </is>
      </c>
    </row>
    <row r="71">
      <c r="E71" s="55" t="inlineStr">
        <is>
          <t>Material + transporte + contingencia (incl. buffer VE 20%)</t>
        </is>
      </c>
      <c r="I71" s="187" t="n">
        <v>1277</v>
      </c>
      <c r="K71" s="55" t="inlineStr">
        <is>
          <t>PRESUPUESTO §6</t>
        </is>
      </c>
      <c r="O71" s="193" t="n">
        <v>12</v>
      </c>
      <c r="P71" s="193">
        <f>IF(Q71=0,0,'Año 1 escenario 1'!N44/Q71)</f>
        <v/>
      </c>
      <c r="Q71" s="193">
        <f>'Año 1 escenario 1'!N19</f>
        <v/>
      </c>
      <c r="R71" s="193">
        <f>'Año 1 escenario 1'!N44</f>
        <v/>
      </c>
      <c r="S71" s="193">
        <f>IF(Q71=0,0,'Año 1 escenario 1'!N25/Q71)</f>
        <v/>
      </c>
      <c r="T71" s="193">
        <f>'Año 1 escenario 1'!N25</f>
        <v/>
      </c>
      <c r="U71" s="193">
        <f>S71-P71</f>
        <v/>
      </c>
      <c r="V71" s="193">
        <f>'Año 1 escenario 1'!N46</f>
        <v/>
      </c>
      <c r="W71" s="59" t="inlineStr">
        <is>
          <t>P50 base</t>
        </is>
      </c>
    </row>
    <row r="72">
      <c r="E72" s="61" t="inlineStr">
        <is>
          <t>Sales comisiones (estim. prom/mes — $40/firma)</t>
        </is>
      </c>
      <c r="I72" s="187" t="n">
        <v>617</v>
      </c>
      <c r="K72" s="55" t="inlineStr">
        <is>
          <t>Variable — no en burn fijo Lean</t>
        </is>
      </c>
      <c r="O72" s="62" t="inlineStr">
        <is>
          <t>Total utilidad M1-M12 (P50)</t>
        </is>
      </c>
      <c r="V72" s="187">
        <f>SUM(V60:V71)</f>
        <v/>
      </c>
    </row>
    <row r="73">
      <c r="E73" s="62" t="inlineStr">
        <is>
          <t>Total burn ref. catálogo (fijos + contingencia)</t>
        </is>
      </c>
      <c r="I73" s="187">
        <f>SUM(I60:I70)+I71</f>
        <v/>
      </c>
    </row>
    <row r="74">
      <c r="E74" s="62" t="inlineStr">
        <is>
          <t>Payback inversor ilustrativo (SAFE 18.66%)</t>
        </is>
      </c>
      <c r="O74" s="62" t="inlineStr">
        <is>
          <t>Stress P10 (ARPF 40 fijo)</t>
        </is>
      </c>
    </row>
    <row r="75">
      <c r="E75" s="55" t="inlineStr">
        <is>
          <t>Ver hoja Flujo Total — fila Payback (años). No promesa contractual.</t>
        </is>
      </c>
      <c r="O75" s="55" t="inlineStr">
        <is>
          <t>Mes</t>
        </is>
      </c>
      <c r="Q75" s="55" t="inlineStr">
        <is>
          <t>Activas</t>
        </is>
      </c>
      <c r="R75" s="55" t="inlineStr">
        <is>
          <t>Costo</t>
        </is>
      </c>
      <c r="S75" s="55" t="inlineStr">
        <is>
          <t>ARPF</t>
        </is>
      </c>
      <c r="T75" s="55" t="inlineStr">
        <is>
          <t>Revenue</t>
        </is>
      </c>
      <c r="V75" s="55" t="inlineStr">
        <is>
          <t>Utilidad</t>
        </is>
      </c>
    </row>
    <row r="76">
      <c r="E76" s="39" t="inlineStr">
        <is>
          <t>Modelo financiero v3.9.1 — jun 2026 — pack Lanzamiento Zonix Pharma</t>
        </is>
      </c>
      <c r="O76" s="187" t="n">
        <v>1</v>
      </c>
      <c r="Q76" s="187">
        <f>'Año 1 escenario 1'!C19</f>
        <v/>
      </c>
      <c r="R76" s="187">
        <f>'Año 1 escenario 1'!C44</f>
        <v/>
      </c>
      <c r="S76" s="187" t="n">
        <v>40</v>
      </c>
      <c r="T76" s="187">
        <f>Q76*S76</f>
        <v/>
      </c>
      <c r="V76" s="187">
        <f>T76-R76</f>
        <v/>
      </c>
      <c r="W76" t="inlineStr">
        <is>
          <t>P10 stress</t>
        </is>
      </c>
    </row>
    <row r="77">
      <c r="O77" s="187" t="n">
        <v>2</v>
      </c>
      <c r="Q77" s="187">
        <f>'Año 1 escenario 1'!D19</f>
        <v/>
      </c>
      <c r="R77" s="187">
        <f>'Año 1 escenario 1'!D44</f>
        <v/>
      </c>
      <c r="S77" s="187" t="n">
        <v>40</v>
      </c>
      <c r="T77" s="187">
        <f>Q77*S77</f>
        <v/>
      </c>
      <c r="V77" s="187">
        <f>T77-R77</f>
        <v/>
      </c>
      <c r="W77" t="inlineStr">
        <is>
          <t>P10 stress</t>
        </is>
      </c>
    </row>
    <row r="78">
      <c r="O78" s="187" t="n">
        <v>3</v>
      </c>
      <c r="Q78" s="187">
        <f>'Año 1 escenario 1'!E19</f>
        <v/>
      </c>
      <c r="R78" s="187">
        <f>'Año 1 escenario 1'!E44</f>
        <v/>
      </c>
      <c r="S78" s="187" t="n">
        <v>40</v>
      </c>
      <c r="T78" s="187">
        <f>Q78*S78</f>
        <v/>
      </c>
      <c r="V78" s="187">
        <f>T78-R78</f>
        <v/>
      </c>
      <c r="W78" t="inlineStr">
        <is>
          <t>P10 stress</t>
        </is>
      </c>
    </row>
    <row r="79">
      <c r="O79" s="187" t="n">
        <v>4</v>
      </c>
      <c r="Q79" s="187">
        <f>'Año 1 escenario 1'!F19</f>
        <v/>
      </c>
      <c r="R79" s="187">
        <f>'Año 1 escenario 1'!F44</f>
        <v/>
      </c>
      <c r="S79" s="187" t="n">
        <v>40</v>
      </c>
      <c r="T79" s="187">
        <f>Q79*S79</f>
        <v/>
      </c>
      <c r="V79" s="187">
        <f>T79-R79</f>
        <v/>
      </c>
      <c r="W79" t="inlineStr">
        <is>
          <t>P10 stress</t>
        </is>
      </c>
    </row>
    <row r="80">
      <c r="O80" s="187" t="n">
        <v>5</v>
      </c>
      <c r="Q80" s="187">
        <f>'Año 1 escenario 1'!G19</f>
        <v/>
      </c>
      <c r="R80" s="187">
        <f>'Año 1 escenario 1'!G44</f>
        <v/>
      </c>
      <c r="S80" s="187" t="n">
        <v>40</v>
      </c>
      <c r="T80" s="187">
        <f>Q80*S80</f>
        <v/>
      </c>
      <c r="V80" s="187">
        <f>T80-R80</f>
        <v/>
      </c>
      <c r="W80" t="inlineStr">
        <is>
          <t>P10 stress</t>
        </is>
      </c>
    </row>
    <row r="81">
      <c r="O81" s="187" t="n">
        <v>6</v>
      </c>
      <c r="Q81" s="187">
        <f>'Año 1 escenario 1'!H19</f>
        <v/>
      </c>
      <c r="R81" s="187">
        <f>'Año 1 escenario 1'!H44</f>
        <v/>
      </c>
      <c r="S81" s="187" t="n">
        <v>40</v>
      </c>
      <c r="T81" s="187">
        <f>Q81*S81</f>
        <v/>
      </c>
      <c r="V81" s="187">
        <f>T81-R81</f>
        <v/>
      </c>
      <c r="W81" t="inlineStr">
        <is>
          <t>P10 stress</t>
        </is>
      </c>
    </row>
    <row r="82">
      <c r="O82" s="187" t="n">
        <v>7</v>
      </c>
      <c r="Q82" s="187">
        <f>'Año 1 escenario 1'!I19</f>
        <v/>
      </c>
      <c r="R82" s="187">
        <f>'Año 1 escenario 1'!I44</f>
        <v/>
      </c>
      <c r="S82" s="187" t="n">
        <v>40</v>
      </c>
      <c r="T82" s="187">
        <f>Q82*S82</f>
        <v/>
      </c>
      <c r="V82" s="187">
        <f>T82-R82</f>
        <v/>
      </c>
      <c r="W82" t="inlineStr">
        <is>
          <t>P10 stress</t>
        </is>
      </c>
    </row>
    <row r="83">
      <c r="O83" s="187" t="n">
        <v>8</v>
      </c>
      <c r="Q83" s="187">
        <f>'Año 1 escenario 1'!J19</f>
        <v/>
      </c>
      <c r="R83" s="187">
        <f>'Año 1 escenario 1'!J44</f>
        <v/>
      </c>
      <c r="S83" s="187" t="n">
        <v>40</v>
      </c>
      <c r="T83" s="187">
        <f>Q83*S83</f>
        <v/>
      </c>
      <c r="V83" s="187">
        <f>T83-R83</f>
        <v/>
      </c>
      <c r="W83" t="inlineStr">
        <is>
          <t>P10 stress</t>
        </is>
      </c>
    </row>
    <row r="84">
      <c r="O84" s="187" t="n">
        <v>9</v>
      </c>
      <c r="Q84" s="187">
        <f>'Año 1 escenario 1'!K19</f>
        <v/>
      </c>
      <c r="R84" s="187">
        <f>'Año 1 escenario 1'!K44</f>
        <v/>
      </c>
      <c r="S84" s="187" t="n">
        <v>40</v>
      </c>
      <c r="T84" s="187">
        <f>Q84*S84</f>
        <v/>
      </c>
      <c r="V84" s="187">
        <f>T84-R84</f>
        <v/>
      </c>
      <c r="W84" t="inlineStr">
        <is>
          <t>P10 stress</t>
        </is>
      </c>
    </row>
    <row r="85">
      <c r="O85" s="187" t="n">
        <v>10</v>
      </c>
      <c r="Q85" s="187">
        <f>'Año 1 escenario 1'!L19</f>
        <v/>
      </c>
      <c r="R85" s="187">
        <f>'Año 1 escenario 1'!L44</f>
        <v/>
      </c>
      <c r="S85" s="187" t="n">
        <v>40</v>
      </c>
      <c r="T85" s="187">
        <f>Q85*S85</f>
        <v/>
      </c>
      <c r="V85" s="187">
        <f>T85-R85</f>
        <v/>
      </c>
      <c r="W85" t="inlineStr">
        <is>
          <t>P10 stress</t>
        </is>
      </c>
    </row>
    <row r="86">
      <c r="O86" s="187" t="n">
        <v>11</v>
      </c>
      <c r="Q86" s="187">
        <f>'Año 1 escenario 1'!M19</f>
        <v/>
      </c>
      <c r="R86" s="187">
        <f>'Año 1 escenario 1'!M44</f>
        <v/>
      </c>
      <c r="S86" s="187" t="n">
        <v>40</v>
      </c>
      <c r="T86" s="187">
        <f>Q86*S86</f>
        <v/>
      </c>
      <c r="V86" s="187">
        <f>T86-R86</f>
        <v/>
      </c>
      <c r="W86" t="inlineStr">
        <is>
          <t>P10 stress</t>
        </is>
      </c>
    </row>
    <row r="87">
      <c r="O87" s="187" t="n">
        <v>12</v>
      </c>
      <c r="Q87" s="187">
        <f>'Año 1 escenario 1'!N19</f>
        <v/>
      </c>
      <c r="R87" s="187">
        <f>'Año 1 escenario 1'!N44</f>
        <v/>
      </c>
      <c r="S87" s="187" t="n">
        <v>40</v>
      </c>
      <c r="T87" s="187">
        <f>Q87*S87</f>
        <v/>
      </c>
      <c r="V87" s="187">
        <f>T87-R87</f>
        <v/>
      </c>
      <c r="W87" t="inlineStr">
        <is>
          <t>P10 stress</t>
        </is>
      </c>
    </row>
    <row r="88">
      <c r="O88" s="62" t="inlineStr">
        <is>
          <t>Total utilidad P10</t>
        </is>
      </c>
      <c r="V88" s="187">
        <f>SUM(V76:V87)</f>
        <v/>
      </c>
    </row>
  </sheetData>
  <mergeCells count="40">
    <mergeCell ref="E43:F43"/>
    <mergeCell ref="E50:F50"/>
    <mergeCell ref="E12:F12"/>
    <mergeCell ref="E24:F24"/>
    <mergeCell ref="E33:F33"/>
    <mergeCell ref="E42:F42"/>
    <mergeCell ref="E23:F23"/>
    <mergeCell ref="E52:F52"/>
    <mergeCell ref="E14:F14"/>
    <mergeCell ref="E17:F17"/>
    <mergeCell ref="E44:F44"/>
    <mergeCell ref="E35:F35"/>
    <mergeCell ref="E51:F51"/>
    <mergeCell ref="E29:I29"/>
    <mergeCell ref="E19:F19"/>
    <mergeCell ref="E13:F13"/>
    <mergeCell ref="E9:F9"/>
    <mergeCell ref="E31:F31"/>
    <mergeCell ref="E40:I40"/>
    <mergeCell ref="E34:F34"/>
    <mergeCell ref="E30:F30"/>
    <mergeCell ref="E46:F46"/>
    <mergeCell ref="E15:F15"/>
    <mergeCell ref="E56:J56"/>
    <mergeCell ref="E45:F45"/>
    <mergeCell ref="E49:I49"/>
    <mergeCell ref="E11:I11"/>
    <mergeCell ref="E36:F36"/>
    <mergeCell ref="E26:F26"/>
    <mergeCell ref="E3:J3"/>
    <mergeCell ref="E16:F16"/>
    <mergeCell ref="E7:I7"/>
    <mergeCell ref="E32:F32"/>
    <mergeCell ref="E25:F25"/>
    <mergeCell ref="E41:F41"/>
    <mergeCell ref="E37:F37"/>
    <mergeCell ref="E53:F53"/>
    <mergeCell ref="E22:I22"/>
    <mergeCell ref="E18:F18"/>
    <mergeCell ref="E47:F47"/>
  </mergeCells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tabSelected="1" zoomScale="90" zoomScaleNormal="90" workbookViewId="0">
      <pane xSplit="2" ySplit="15" topLeftCell="C16" activePane="bottomRight" state="frozen"/>
      <selection pane="topRight" activeCell="A1" sqref="A1"/>
      <selection pane="bottomLeft" activeCell="A1" sqref="A1"/>
      <selection pane="bottomRight" activeCell="I12" sqref="I12"/>
    </sheetView>
  </sheetViews>
  <sheetFormatPr baseColWidth="10" defaultColWidth="8.6640625" defaultRowHeight="13.2"/>
  <cols>
    <col width="1.21875" customWidth="1" style="127" min="1" max="1"/>
    <col width="58.88671875" customWidth="1" style="127" min="2" max="2"/>
    <col width="25.5546875" customWidth="1" style="127" min="3" max="3"/>
    <col width="15.5546875" customWidth="1" style="127" min="4" max="4"/>
    <col width="11" customWidth="1" style="127" min="5" max="11"/>
    <col width="11.77734375" customWidth="1" style="127" min="12" max="12"/>
    <col width="12.77734375" customWidth="1" style="127" min="13" max="13"/>
    <col width="13.33203125" customWidth="1" style="127" min="14" max="14"/>
    <col width="16.88671875" customWidth="1" style="127" min="15" max="15"/>
    <col width="8.6640625" customWidth="1" style="127" min="16" max="16384"/>
  </cols>
  <sheetData>
    <row r="1"/>
    <row r="2">
      <c r="B2" s="70" t="inlineStr">
        <is>
          <t>ITEMS</t>
        </is>
      </c>
      <c r="C2" s="70" t="inlineStr">
        <is>
          <t>DATOS</t>
        </is>
      </c>
      <c r="I2" s="153" t="inlineStr">
        <is>
          <t>ARPF (Base Mes 1)</t>
        </is>
      </c>
    </row>
    <row r="3" ht="23.4" customHeight="1" s="44">
      <c r="B3" s="132" t="inlineStr">
        <is>
          <t>ARPF placeholder USD/mes</t>
        </is>
      </c>
      <c r="C3" s="196">
        <f>C22/C19</f>
        <v/>
      </c>
      <c r="E3" s="134" t="inlineStr">
        <is>
          <t>Tasa GMV</t>
        </is>
      </c>
      <c r="F3" s="134" t="inlineStr">
        <is>
          <t>Condición Facturación</t>
        </is>
      </c>
      <c r="I3" s="143" t="inlineStr">
        <is>
          <t>Tipo Cuota</t>
        </is>
      </c>
      <c r="J3" s="144" t="inlineStr">
        <is>
          <t>Farmacias Activas Mes 1</t>
        </is>
      </c>
      <c r="K3" s="145" t="inlineStr">
        <is>
          <t>Ingreso x Suscripción</t>
        </is>
      </c>
      <c r="L3" s="146" t="inlineStr">
        <is>
          <t>Ticket Promedio x APP</t>
        </is>
      </c>
      <c r="M3" s="147" t="inlineStr">
        <is>
          <t>Total Ticket x Mes (cada cuota)</t>
        </is>
      </c>
      <c r="N3" s="146" t="inlineStr">
        <is>
          <t>Ingreso Zonix GMV</t>
        </is>
      </c>
    </row>
    <row r="4">
      <c r="B4" s="135" t="inlineStr">
        <is>
          <t>Cuota Basic USD/mes</t>
        </is>
      </c>
      <c r="C4" s="197" t="n">
        <v>45</v>
      </c>
      <c r="E4" s="130" t="n">
        <v>0.08</v>
      </c>
      <c r="F4" s="114" t="inlineStr">
        <is>
          <t>&lt; 2000$</t>
        </is>
      </c>
      <c r="I4" s="148" t="inlineStr">
        <is>
          <t>Cuota Basic</t>
        </is>
      </c>
      <c r="J4" s="148">
        <f>C7*$C$19</f>
        <v/>
      </c>
      <c r="K4" s="198">
        <f>J4*C4</f>
        <v/>
      </c>
      <c r="L4" s="198" t="n">
        <v>1000</v>
      </c>
      <c r="M4" s="198">
        <f>J4*L4</f>
        <v/>
      </c>
      <c r="N4" s="199">
        <f>M4*E4</f>
        <v/>
      </c>
    </row>
    <row r="5">
      <c r="B5" s="132" t="inlineStr">
        <is>
          <t>Cuota Pro USD/mes</t>
        </is>
      </c>
      <c r="C5" s="196" t="n">
        <v>60</v>
      </c>
      <c r="E5" s="130" t="n">
        <v>0.07000000000000001</v>
      </c>
      <c r="F5" s="114" t="inlineStr">
        <is>
          <t>Entre 2001$ y 5000$</t>
        </is>
      </c>
      <c r="I5" s="127" t="inlineStr">
        <is>
          <t>Cuota Pro</t>
        </is>
      </c>
      <c r="J5" s="127">
        <f>C8*$C$19</f>
        <v/>
      </c>
      <c r="K5" s="200">
        <f>J5*C5</f>
        <v/>
      </c>
      <c r="L5" s="200" t="n">
        <v>3000</v>
      </c>
      <c r="M5" s="200">
        <f>J5*L5</f>
        <v/>
      </c>
      <c r="N5" s="201">
        <f>M5*E5</f>
        <v/>
      </c>
    </row>
    <row r="6">
      <c r="B6" s="135" t="inlineStr">
        <is>
          <t>Cuota Enterprise USD/mes</t>
        </is>
      </c>
      <c r="C6" s="197" t="n">
        <v>70</v>
      </c>
      <c r="E6" s="130" t="n">
        <v>0.05</v>
      </c>
      <c r="F6" s="114" t="inlineStr">
        <is>
          <t>&gt; 5001</t>
        </is>
      </c>
      <c r="I6" s="148" t="inlineStr">
        <is>
          <t>Cuota Enterp</t>
        </is>
      </c>
      <c r="J6" s="148">
        <f>C9*$C$19</f>
        <v/>
      </c>
      <c r="K6" s="198">
        <f>J6*C6</f>
        <v/>
      </c>
      <c r="L6" s="198" t="n">
        <v>5000</v>
      </c>
      <c r="M6" s="198">
        <f>J6*L6</f>
        <v/>
      </c>
      <c r="N6" s="199">
        <f>M6*E6</f>
        <v/>
      </c>
    </row>
    <row r="7" ht="13.2" customHeight="1" s="44">
      <c r="B7" s="132" t="inlineStr">
        <is>
          <t>Mix Basic (ponderador)</t>
        </is>
      </c>
      <c r="C7" s="196" t="n">
        <v>0.6</v>
      </c>
      <c r="I7" s="152" t="inlineStr">
        <is>
          <t>Totales</t>
        </is>
      </c>
      <c r="J7" s="127">
        <f>SUM(J4:J6)</f>
        <v/>
      </c>
      <c r="K7" s="202">
        <f>SUM(K4:K6)</f>
        <v/>
      </c>
      <c r="L7" s="202">
        <f>SUM(L4:L6)</f>
        <v/>
      </c>
      <c r="M7" s="202">
        <f>SUM(M4:M6)</f>
        <v/>
      </c>
      <c r="N7" s="202">
        <f>SUM(N4:N6)</f>
        <v/>
      </c>
    </row>
    <row r="8" ht="31.2" customHeight="1" s="44">
      <c r="B8" s="135" t="inlineStr">
        <is>
          <t>Mix Pro (ponderador)</t>
        </is>
      </c>
      <c r="C8" s="197" t="n">
        <v>0.3</v>
      </c>
      <c r="K8" s="151" t="inlineStr">
        <is>
          <t>Total Ingreso x Suscripción Mes1</t>
        </is>
      </c>
      <c r="L8" s="155" t="inlineStr">
        <is>
          <t>Ticket Promedio por Farmacia x APP</t>
        </is>
      </c>
      <c r="M8" s="155" t="inlineStr">
        <is>
          <t>Total Facturado x APP/Mes 1</t>
        </is>
      </c>
      <c r="N8" s="155" t="inlineStr">
        <is>
          <t>Total Ingreso Zonix Mes 1.</t>
        </is>
      </c>
    </row>
    <row r="9">
      <c r="B9" s="132" t="inlineStr">
        <is>
          <t>Mix Enterprise (ponderador)</t>
        </is>
      </c>
      <c r="C9" s="196" t="n">
        <v>0.1</v>
      </c>
    </row>
    <row r="10">
      <c r="B10" s="135" t="inlineStr">
        <is>
          <t>Churn mensual target</t>
        </is>
      </c>
      <c r="C10" s="203" t="n">
        <v>0.05</v>
      </c>
    </row>
    <row r="11">
      <c r="B11" s="132" t="inlineStr">
        <is>
          <t>Participación Inversor SAFE</t>
        </is>
      </c>
      <c r="C11" s="204" t="n">
        <v>0.25</v>
      </c>
    </row>
    <row r="12">
      <c r="B12" s="135" t="inlineStr">
        <is>
          <t>Participación Founders</t>
        </is>
      </c>
      <c r="C12" s="203">
        <f>1-C11</f>
        <v/>
      </c>
      <c r="F12" s="201" t="n"/>
      <c r="G12" s="201" t="n"/>
      <c r="H12" s="201" t="n"/>
    </row>
    <row r="13">
      <c r="B13" s="132" t="inlineStr">
        <is>
          <t>Tasa descuento VAN</t>
        </is>
      </c>
      <c r="C13" s="204" t="n">
        <v>0.25</v>
      </c>
      <c r="F13" s="201" t="n"/>
      <c r="G13" s="201" t="n"/>
      <c r="H13" s="201" t="n"/>
    </row>
    <row r="14">
      <c r="B14" s="135" t="inlineStr">
        <is>
          <t>Capital SAFE Lean (USD)</t>
        </is>
      </c>
      <c r="C14" s="197">
        <f>Hoja3!M19</f>
        <v/>
      </c>
      <c r="F14" s="201" t="n"/>
      <c r="G14" s="201" t="n"/>
      <c r="H14" s="201" t="n"/>
      <c r="I14" s="201" t="n"/>
    </row>
    <row r="15">
      <c r="B15" s="132" t="inlineStr">
        <is>
          <t>Nota escenario</t>
        </is>
      </c>
      <c r="C15" s="132" t="inlineStr">
        <is>
          <t>Lean ancla pack</t>
        </is>
      </c>
    </row>
    <row r="16">
      <c r="B16" s="107" t="inlineStr">
        <is>
          <t>AÑO 1</t>
        </is>
      </c>
      <c r="C16" s="131" t="inlineStr">
        <is>
          <t>AÑO 1</t>
        </is>
      </c>
    </row>
    <row r="17">
      <c r="C17" s="70" t="inlineStr">
        <is>
          <t>Mes 1</t>
        </is>
      </c>
      <c r="D17" s="70" t="inlineStr">
        <is>
          <t>Mes 2</t>
        </is>
      </c>
      <c r="E17" s="70" t="inlineStr">
        <is>
          <t>Mes 3</t>
        </is>
      </c>
      <c r="F17" s="70" t="inlineStr">
        <is>
          <t>Mes 4</t>
        </is>
      </c>
      <c r="G17" s="70" t="inlineStr">
        <is>
          <t>Mes 5</t>
        </is>
      </c>
      <c r="H17" s="70" t="inlineStr">
        <is>
          <t>Mes 6</t>
        </is>
      </c>
      <c r="I17" s="70" t="inlineStr">
        <is>
          <t>Mes 7</t>
        </is>
      </c>
      <c r="J17" s="70" t="inlineStr">
        <is>
          <t>Mes 8</t>
        </is>
      </c>
      <c r="K17" s="70" t="inlineStr">
        <is>
          <t>Mes 9</t>
        </is>
      </c>
      <c r="L17" s="70" t="inlineStr">
        <is>
          <t>Mes 10</t>
        </is>
      </c>
      <c r="M17" s="70" t="inlineStr">
        <is>
          <t>Mes 11</t>
        </is>
      </c>
      <c r="N17" s="70" t="inlineStr">
        <is>
          <t>Mes 12</t>
        </is>
      </c>
      <c r="O17" s="70" t="inlineStr">
        <is>
          <t>TOTAL</t>
        </is>
      </c>
    </row>
    <row r="18">
      <c r="B18" s="80" t="inlineStr">
        <is>
          <t>Farmacias firmadas (altas mes)</t>
        </is>
      </c>
      <c r="C18" s="165" t="n">
        <v>13</v>
      </c>
      <c r="D18" s="165" t="n">
        <v>13</v>
      </c>
      <c r="E18" s="165" t="n">
        <v>14</v>
      </c>
      <c r="F18" s="165" t="n">
        <v>15</v>
      </c>
      <c r="G18" s="165" t="n">
        <v>15</v>
      </c>
      <c r="H18" s="165" t="n">
        <v>16</v>
      </c>
      <c r="I18" s="165" t="n">
        <v>16</v>
      </c>
      <c r="J18" s="165" t="n">
        <v>16</v>
      </c>
      <c r="K18" s="165" t="n">
        <v>17</v>
      </c>
      <c r="L18" s="165" t="n">
        <v>17</v>
      </c>
      <c r="M18" s="165" t="n">
        <v>17</v>
      </c>
      <c r="N18" s="165" t="n">
        <v>16</v>
      </c>
      <c r="O18" s="165">
        <f>SUM(C18:N18)</f>
        <v/>
      </c>
    </row>
    <row r="19">
      <c r="B19" s="80" t="inlineStr">
        <is>
          <t>Farmacias activas (stock cierre mes)</t>
        </is>
      </c>
      <c r="C19" s="165" t="n">
        <v>40</v>
      </c>
      <c r="D19" s="165" t="n">
        <v>51</v>
      </c>
      <c r="E19" s="165" t="n">
        <v>62</v>
      </c>
      <c r="F19" s="165" t="n">
        <v>74</v>
      </c>
      <c r="G19" s="165" t="n">
        <v>85</v>
      </c>
      <c r="H19" s="165" t="n">
        <v>97</v>
      </c>
      <c r="I19" s="165" t="n">
        <v>108</v>
      </c>
      <c r="J19" s="165" t="n">
        <v>119</v>
      </c>
      <c r="K19" s="165" t="n">
        <v>130</v>
      </c>
      <c r="L19" s="165" t="n">
        <v>141</v>
      </c>
      <c r="M19" s="165" t="n">
        <v>151</v>
      </c>
      <c r="N19" s="165" t="n">
        <v>159</v>
      </c>
      <c r="O19" s="165">
        <f>N19</f>
        <v/>
      </c>
    </row>
    <row r="21">
      <c r="B21" s="93" t="inlineStr">
        <is>
          <t>Ingresos ($)</t>
        </is>
      </c>
      <c r="C21" s="93" t="n"/>
      <c r="D21" s="93" t="n"/>
      <c r="E21" s="93" t="n"/>
      <c r="F21" s="93" t="n"/>
      <c r="G21" s="93" t="n"/>
      <c r="H21" s="93" t="n"/>
      <c r="I21" s="93" t="n"/>
      <c r="J21" s="93" t="n"/>
      <c r="K21" s="93" t="n"/>
      <c r="L21" s="93" t="n"/>
      <c r="M21" s="93" t="n"/>
      <c r="N21" s="93" t="n"/>
      <c r="O21" s="93" t="n"/>
    </row>
    <row r="22">
      <c r="B22" s="80" t="inlineStr">
        <is>
          <t xml:space="preserve">      Ingresos cuota fija B2B</t>
        </is>
      </c>
      <c r="C22" s="165">
        <f>C19*($C$7*$C$4+$C$8*$C$5+$C$9*$C$6)</f>
        <v/>
      </c>
      <c r="D22" s="165">
        <f>D19*($C$7*$C$4+$C$8*$C$5+$C$9*$C$6)</f>
        <v/>
      </c>
      <c r="E22" s="165">
        <f>E19*($C$7*$C$4+$C$8*$C$5+$C$9*$C$6)</f>
        <v/>
      </c>
      <c r="F22" s="165">
        <f>F19*($C$7*$C$4+$C$8*$C$5+$C$9*$C$6)</f>
        <v/>
      </c>
      <c r="G22" s="165">
        <f>G19*($C$7*$C$4+$C$8*$C$5+$C$9*$C$6)</f>
        <v/>
      </c>
      <c r="H22" s="165">
        <f>H19*($C$7*$C$4+$C$8*$C$5+$C$9*$C$6)</f>
        <v/>
      </c>
      <c r="I22" s="165">
        <f>I19*($C$7*$C$4+$C$8*$C$5+$C$9*$C$6)</f>
        <v/>
      </c>
      <c r="J22" s="165">
        <f>J19*($C$7*$C$4+$C$8*$C$5+$C$9*$C$6)</f>
        <v/>
      </c>
      <c r="K22" s="165">
        <f>K19*($C$7*$C$4+$C$8*$C$5+$C$9*$C$6)</f>
        <v/>
      </c>
      <c r="L22" s="165">
        <f>L19*($C$7*$C$4+$C$8*$C$5+$C$9*$C$6)</f>
        <v/>
      </c>
      <c r="M22" s="165">
        <f>M19*($C$7*$C$4+$C$8*$C$5+$C$9*$C$6)</f>
        <v/>
      </c>
      <c r="N22" s="165">
        <f>N19*($C$7*$C$4+$C$8*$C$5+$C$9*$C$6)</f>
        <v/>
      </c>
      <c r="O22" s="165">
        <f>SUM(C22:N22)</f>
        <v/>
      </c>
    </row>
    <row r="23">
      <c r="B23" s="80" t="inlineStr">
        <is>
          <t xml:space="preserve">      Ingresos comisión % GMV [EDITAR]</t>
        </is>
      </c>
      <c r="C23" s="165">
        <f>(((C19*$C$7)*$L$4)*$E$4)+(((C19*$C$8)*$L$5)*$E$5)+(((C19*$C$9)*$L$6)*$E$6)</f>
        <v/>
      </c>
      <c r="D23" s="165">
        <f>(((D19*$C$7)*$L$4)*$E$4)+(((D19*$C$8)*$L$5)*$E$5)+(((D19*$C$9)*$L$6)*$E$6)</f>
        <v/>
      </c>
      <c r="E23" s="165">
        <f>(((E19*$C$7)*$L$4)*$E$4)+(((E19*$C$8)*$L$5)*$E$5)+(((E19*$C$9)*$L$6)*$E$6)</f>
        <v/>
      </c>
      <c r="F23" s="165">
        <f>(((F19*$C$7)*$L$4)*$E$4)+(((F19*$C$8)*$L$5)*$E$5)+(((F19*$C$9)*$L$6)*$E$6)</f>
        <v/>
      </c>
      <c r="G23" s="165">
        <f>(((G19*$C$7)*$L$4)*$E$4)+(((G19*$C$8)*$L$5)*$E$5)+(((G19*$C$9)*$L$6)*$E$6)</f>
        <v/>
      </c>
      <c r="H23" s="165">
        <f>(((H19*$C$7)*$L$4)*$E$4)+(((H19*$C$8)*$L$5)*$E$5)+(((H19*$C$9)*$L$6)*$E$6)</f>
        <v/>
      </c>
      <c r="I23" s="165">
        <f>(((I19*$C$7)*$L$4)*$E$4)+(((I19*$C$8)*$L$5)*$E$5)+(((I19*$C$9)*$L$6)*$E$6)</f>
        <v/>
      </c>
      <c r="J23" s="165">
        <f>(((J19*$C$7)*$L$4)*$E$4)+(((J19*$C$8)*$L$5)*$E$5)+(((J19*$C$9)*$L$6)*$E$6)</f>
        <v/>
      </c>
      <c r="K23" s="165">
        <f>(((K19*$C$7)*$L$4)*$E$4)+(((K19*$C$8)*$L$5)*$E$5)+(((K19*$C$9)*$L$6)*$E$6)</f>
        <v/>
      </c>
      <c r="L23" s="165">
        <f>(((L19*$C$7)*$L$4)*$E$4)+(((L19*$C$8)*$L$5)*$E$5)+(((L19*$C$9)*$L$6)*$E$6)</f>
        <v/>
      </c>
      <c r="M23" s="165">
        <f>(((M19*$C$7)*$L$4)*$E$4)+(((M19*$C$8)*$L$5)*$E$5)+(((M19*$C$9)*$L$6)*$E$6)</f>
        <v/>
      </c>
      <c r="N23" s="165">
        <f>(((N19*$C$7)*$L$4)*$E$4)+(((N19*$C$8)*$L$5)*$E$5)+(((N19*$C$9)*$L$6)*$E$6)</f>
        <v/>
      </c>
      <c r="O23" s="165">
        <f>SUM(C23:N23)</f>
        <v/>
      </c>
    </row>
    <row r="24" ht="15" customHeight="1" s="44">
      <c r="B24" s="80" t="n"/>
      <c r="C24" s="165" t="n"/>
      <c r="D24" s="165" t="n"/>
      <c r="E24" s="165" t="n"/>
      <c r="F24" s="165" t="n"/>
      <c r="G24" s="165" t="n"/>
      <c r="H24" s="165" t="n"/>
      <c r="I24" s="165" t="n"/>
      <c r="J24" s="165" t="n"/>
      <c r="K24" s="165" t="n"/>
      <c r="L24" s="165" t="n"/>
      <c r="M24" s="165" t="n"/>
      <c r="N24" s="165" t="n"/>
      <c r="O24" s="165">
        <f>SUM(C24:N24)</f>
        <v/>
      </c>
    </row>
    <row r="25" ht="15" customHeight="1" s="44">
      <c r="B25" s="141" t="inlineStr">
        <is>
          <t>Total Ingresos</t>
        </is>
      </c>
      <c r="C25" s="205">
        <f>C22+C23+C24</f>
        <v/>
      </c>
      <c r="D25" s="205">
        <f>D22+D23+D24</f>
        <v/>
      </c>
      <c r="E25" s="205">
        <f>E22+E23+E24</f>
        <v/>
      </c>
      <c r="F25" s="205">
        <f>F22+F23+F24</f>
        <v/>
      </c>
      <c r="G25" s="205">
        <f>G22+G23+G24</f>
        <v/>
      </c>
      <c r="H25" s="205">
        <f>H22+H23+H24</f>
        <v/>
      </c>
      <c r="I25" s="205">
        <f>I22+I23+I24</f>
        <v/>
      </c>
      <c r="J25" s="205">
        <f>J22+J23+J24</f>
        <v/>
      </c>
      <c r="K25" s="205">
        <f>K22+K23+K24</f>
        <v/>
      </c>
      <c r="L25" s="205">
        <f>L22+L23+L24</f>
        <v/>
      </c>
      <c r="M25" s="205">
        <f>M22+M23+M24</f>
        <v/>
      </c>
      <c r="N25" s="205">
        <f>N22+N23+N24</f>
        <v/>
      </c>
      <c r="O25" s="205">
        <f>SUM(C25:N25)</f>
        <v/>
      </c>
    </row>
    <row r="27">
      <c r="B27" s="93" t="inlineStr">
        <is>
          <t>Costos ($)</t>
        </is>
      </c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</row>
    <row r="28">
      <c r="B28" s="80" t="inlineStr">
        <is>
          <t xml:space="preserve">      Dev junior (Flutter/Laravel) x3 (1000 e/o)</t>
        </is>
      </c>
      <c r="C28" s="165" t="n">
        <v>3000</v>
      </c>
      <c r="D28" s="165">
        <f>'Detallado de la inversión.'!$F$103</f>
        <v/>
      </c>
      <c r="E28" s="165">
        <f>'Detallado de la inversión.'!$F$103</f>
        <v/>
      </c>
      <c r="F28" s="165">
        <f>'Detallado de la inversión.'!$F$103</f>
        <v/>
      </c>
      <c r="G28" s="165">
        <f>'Detallado de la inversión.'!$F$103</f>
        <v/>
      </c>
      <c r="H28" s="165">
        <f>'Detallado de la inversión.'!$F$103</f>
        <v/>
      </c>
      <c r="I28" s="165">
        <f>'Detallado de la inversión.'!$F$103</f>
        <v/>
      </c>
      <c r="J28" s="165">
        <f>'Detallado de la inversión.'!$F$103</f>
        <v/>
      </c>
      <c r="K28" s="165">
        <f>'Detallado de la inversión.'!$F$103</f>
        <v/>
      </c>
      <c r="L28" s="165">
        <f>'Detallado de la inversión.'!$F$103</f>
        <v/>
      </c>
      <c r="M28" s="165">
        <f>'Detallado de la inversión.'!$F$103</f>
        <v/>
      </c>
      <c r="N28" s="165">
        <f>'Detallado de la inversión.'!$F$103</f>
        <v/>
      </c>
    </row>
    <row r="29">
      <c r="B29" s="80" t="inlineStr">
        <is>
          <t xml:space="preserve">      Promo Lanzamiento x 10 farmacias (50 e/o)</t>
        </is>
      </c>
      <c r="C29" s="165" t="n">
        <v>500</v>
      </c>
      <c r="D29" s="165" t="n">
        <v>500</v>
      </c>
      <c r="E29" s="165" t="n"/>
      <c r="F29" s="165" t="n"/>
      <c r="G29" s="165" t="n"/>
      <c r="H29" s="165" t="n"/>
      <c r="I29" s="165" t="n"/>
      <c r="J29" s="165" t="n"/>
      <c r="K29" s="165" t="n"/>
      <c r="L29" s="165" t="n"/>
      <c r="M29" s="165" t="n"/>
      <c r="N29" s="165" t="n"/>
    </row>
    <row r="30">
      <c r="B30" s="80" t="inlineStr">
        <is>
          <t xml:space="preserve">      4× Sales B2B</t>
        </is>
      </c>
      <c r="C30" s="165">
        <f>'ESTA SI VALE'!$I$61</f>
        <v/>
      </c>
      <c r="D30" s="165">
        <f>'Detallado de la inversión.'!$F$104</f>
        <v/>
      </c>
      <c r="E30" s="165">
        <f>'Detallado de la inversión.'!$F$104</f>
        <v/>
      </c>
      <c r="F30" s="165">
        <f>'Detallado de la inversión.'!$F$104</f>
        <v/>
      </c>
      <c r="G30" s="165">
        <f>'Detallado de la inversión.'!$F$104</f>
        <v/>
      </c>
      <c r="H30" s="165">
        <f>'Detallado de la inversión.'!$F$104</f>
        <v/>
      </c>
      <c r="I30" s="165">
        <f>'Detallado de la inversión.'!$F$104</f>
        <v/>
      </c>
      <c r="J30" s="165">
        <f>'Detallado de la inversión.'!$F$104</f>
        <v/>
      </c>
      <c r="K30" s="165">
        <f>'Detallado de la inversión.'!$F$104</f>
        <v/>
      </c>
      <c r="L30" s="165">
        <f>'Detallado de la inversión.'!$F$104</f>
        <v/>
      </c>
      <c r="M30" s="165">
        <f>'Detallado de la inversión.'!$F$104</f>
        <v/>
      </c>
      <c r="N30" s="165">
        <f>'Detallado de la inversión.'!$F$104</f>
        <v/>
      </c>
    </row>
    <row r="31">
      <c r="B31" s="80" t="inlineStr">
        <is>
          <t xml:space="preserve">      CS + Community Manager</t>
        </is>
      </c>
      <c r="C31" s="165">
        <f>'ESTA SI VALE'!$I$62</f>
        <v/>
      </c>
      <c r="D31" s="165">
        <f>'Detallado de la inversión.'!$F$105</f>
        <v/>
      </c>
      <c r="E31" s="165">
        <f>'Detallado de la inversión.'!$F$105</f>
        <v/>
      </c>
      <c r="F31" s="165">
        <f>'Detallado de la inversión.'!$F$105</f>
        <v/>
      </c>
      <c r="G31" s="165">
        <f>'Detallado de la inversión.'!$F$105</f>
        <v/>
      </c>
      <c r="H31" s="165">
        <f>'Detallado de la inversión.'!$F$105</f>
        <v/>
      </c>
      <c r="I31" s="165">
        <f>'Detallado de la inversión.'!$F$105</f>
        <v/>
      </c>
      <c r="J31" s="165">
        <f>'Detallado de la inversión.'!$F$105</f>
        <v/>
      </c>
      <c r="K31" s="165">
        <f>'Detallado de la inversión.'!$F$105</f>
        <v/>
      </c>
      <c r="L31" s="165">
        <f>'Detallado de la inversión.'!$F$105</f>
        <v/>
      </c>
      <c r="M31" s="165">
        <f>'Detallado de la inversión.'!$F$105</f>
        <v/>
      </c>
      <c r="N31" s="165">
        <f>'Detallado de la inversión.'!$F$105</f>
        <v/>
      </c>
    </row>
    <row r="32">
      <c r="B32" s="80" t="inlineStr">
        <is>
          <t xml:space="preserve">      Founder + Co-CEO + CEO</t>
        </is>
      </c>
      <c r="C32" s="165" t="n">
        <v>3000</v>
      </c>
      <c r="D32" s="165">
        <f>('Detallado de la inversión.'!$F$100+'Detallado de la inversión.'!$F$101+'Detallado de la inversión.'!$F$102)</f>
        <v/>
      </c>
      <c r="E32" s="165">
        <f>('Detallado de la inversión.'!$F$100+'Detallado de la inversión.'!$F$101+'Detallado de la inversión.'!$F$102)</f>
        <v/>
      </c>
      <c r="F32" s="165">
        <f>('Detallado de la inversión.'!$F$100+'Detallado de la inversión.'!$F$101+'Detallado de la inversión.'!$F$102)</f>
        <v/>
      </c>
      <c r="G32" s="165">
        <f>('Detallado de la inversión.'!$F$100+'Detallado de la inversión.'!$F$101+'Detallado de la inversión.'!$F$102)</f>
        <v/>
      </c>
      <c r="H32" s="165">
        <f>('Detallado de la inversión.'!$F$100+'Detallado de la inversión.'!$F$101+'Detallado de la inversión.'!$F$102)</f>
        <v/>
      </c>
      <c r="I32" s="165">
        <f>('Detallado de la inversión.'!$F$100+'Detallado de la inversión.'!$F$101+'Detallado de la inversión.'!$F$102)</f>
        <v/>
      </c>
      <c r="J32" s="165">
        <f>('Detallado de la inversión.'!$F$100+'Detallado de la inversión.'!$F$101+'Detallado de la inversión.'!$F$102)</f>
        <v/>
      </c>
      <c r="K32" s="165">
        <f>('Detallado de la inversión.'!$F$100+'Detallado de la inversión.'!$F$101+'Detallado de la inversión.'!$F$102)</f>
        <v/>
      </c>
      <c r="L32" s="165">
        <f>('Detallado de la inversión.'!$F$100+'Detallado de la inversión.'!$F$101+'Detallado de la inversión.'!$F$102)</f>
        <v/>
      </c>
      <c r="M32" s="165">
        <f>('Detallado de la inversión.'!$F$100+'Detallado de la inversión.'!$F$101+'Detallado de la inversión.'!$F$102)</f>
        <v/>
      </c>
      <c r="N32" s="165">
        <f>('Detallado de la inversión.'!$F$100+'Detallado de la inversión.'!$F$101+'Detallado de la inversión.'!$F$102)</f>
        <v/>
      </c>
    </row>
    <row r="33">
      <c r="B33" s="80" t="inlineStr">
        <is>
          <t xml:space="preserve">      Herramientas IA</t>
        </is>
      </c>
      <c r="C33" s="165">
        <f>'ESTA SI VALE'!$I$64</f>
        <v/>
      </c>
      <c r="D33" s="165">
        <f>'Detallado de la inversión.'!$F$106</f>
        <v/>
      </c>
      <c r="E33" s="165">
        <f>'Detallado de la inversión.'!$F$106</f>
        <v/>
      </c>
      <c r="F33" s="165">
        <f>'Detallado de la inversión.'!$F$106</f>
        <v/>
      </c>
      <c r="G33" s="165">
        <f>'Detallado de la inversión.'!$F$106</f>
        <v/>
      </c>
      <c r="H33" s="165">
        <f>'Detallado de la inversión.'!$F$106</f>
        <v/>
      </c>
      <c r="I33" s="165">
        <f>'Detallado de la inversión.'!$F$106</f>
        <v/>
      </c>
      <c r="J33" s="165">
        <f>'Detallado de la inversión.'!$F$106</f>
        <v/>
      </c>
      <c r="K33" s="165">
        <f>'Detallado de la inversión.'!$F$106</f>
        <v/>
      </c>
      <c r="L33" s="165">
        <f>'Detallado de la inversión.'!$F$106</f>
        <v/>
      </c>
      <c r="M33" s="165">
        <f>'Detallado de la inversión.'!$F$106</f>
        <v/>
      </c>
      <c r="N33" s="165">
        <f>'Detallado de la inversión.'!$F$106</f>
        <v/>
      </c>
    </row>
    <row r="34">
      <c r="B34" s="80" t="inlineStr">
        <is>
          <t xml:space="preserve">      Contador + Abogado</t>
        </is>
      </c>
      <c r="C34" s="165">
        <f>'ESTA SI VALE'!$I$65</f>
        <v/>
      </c>
      <c r="D34" s="165">
        <f>'Detallado de la inversión.'!$F$107</f>
        <v/>
      </c>
      <c r="E34" s="165">
        <f>'Detallado de la inversión.'!$F$107</f>
        <v/>
      </c>
      <c r="F34" s="165">
        <f>'Detallado de la inversión.'!$F$107</f>
        <v/>
      </c>
      <c r="G34" s="165">
        <f>'Detallado de la inversión.'!$F$107</f>
        <v/>
      </c>
      <c r="H34" s="165">
        <f>'Detallado de la inversión.'!$F$107</f>
        <v/>
      </c>
      <c r="I34" s="165">
        <f>'Detallado de la inversión.'!$F$107</f>
        <v/>
      </c>
      <c r="J34" s="165">
        <f>'Detallado de la inversión.'!$F$107</f>
        <v/>
      </c>
      <c r="K34" s="165">
        <f>'Detallado de la inversión.'!$F$107</f>
        <v/>
      </c>
      <c r="L34" s="165">
        <f>'Detallado de la inversión.'!$F$107</f>
        <v/>
      </c>
      <c r="M34" s="165">
        <f>'Detallado de la inversión.'!$F$107</f>
        <v/>
      </c>
      <c r="N34" s="165">
        <f>'Detallado de la inversión.'!$F$107</f>
        <v/>
      </c>
    </row>
    <row r="35">
      <c r="B35" s="80" t="inlineStr">
        <is>
          <t xml:space="preserve">      HQ casa (arriendo)</t>
        </is>
      </c>
      <c r="C35" s="165">
        <f>'ESTA SI VALE'!$I$66</f>
        <v/>
      </c>
      <c r="D35" s="165">
        <f>'Detallado de la inversión.'!$F$112</f>
        <v/>
      </c>
      <c r="E35" s="165">
        <f>'Detallado de la inversión.'!$F$112</f>
        <v/>
      </c>
      <c r="F35" s="165">
        <f>'Detallado de la inversión.'!$F$112</f>
        <v/>
      </c>
      <c r="G35" s="165">
        <f>'Detallado de la inversión.'!$F$112</f>
        <v/>
      </c>
      <c r="H35" s="165">
        <f>'Detallado de la inversión.'!$F$112</f>
        <v/>
      </c>
      <c r="I35" s="165">
        <f>'Detallado de la inversión.'!$F$112</f>
        <v/>
      </c>
      <c r="J35" s="165">
        <f>'Detallado de la inversión.'!$F$112</f>
        <v/>
      </c>
      <c r="K35" s="165">
        <f>'Detallado de la inversión.'!$F$112</f>
        <v/>
      </c>
      <c r="L35" s="165">
        <f>'Detallado de la inversión.'!$F$112</f>
        <v/>
      </c>
      <c r="M35" s="165">
        <f>'Detallado de la inversión.'!$F$112</f>
        <v/>
      </c>
      <c r="N35" s="165">
        <f>'Detallado de la inversión.'!$F$112</f>
        <v/>
      </c>
    </row>
    <row r="36">
      <c r="B36" s="80" t="inlineStr">
        <is>
          <t xml:space="preserve">      Servicios oficina (electricidad, agua, internet)</t>
        </is>
      </c>
      <c r="C36" s="165">
        <f>'ESTA SI VALE'!$I$67</f>
        <v/>
      </c>
      <c r="D36" s="165">
        <f>'Detallado de la inversión.'!$F$113</f>
        <v/>
      </c>
      <c r="E36" s="165">
        <f>'Detallado de la inversión.'!$F$113</f>
        <v/>
      </c>
      <c r="F36" s="165">
        <f>'Detallado de la inversión.'!$F$113</f>
        <v/>
      </c>
      <c r="G36" s="165">
        <f>'Detallado de la inversión.'!$F$113</f>
        <v/>
      </c>
      <c r="H36" s="165">
        <f>'Detallado de la inversión.'!$F$113</f>
        <v/>
      </c>
      <c r="I36" s="165">
        <f>'Detallado de la inversión.'!$F$113</f>
        <v/>
      </c>
      <c r="J36" s="165">
        <f>'Detallado de la inversión.'!$F$113</f>
        <v/>
      </c>
      <c r="K36" s="165">
        <f>'Detallado de la inversión.'!$F$113</f>
        <v/>
      </c>
      <c r="L36" s="165">
        <f>'Detallado de la inversión.'!$F$113</f>
        <v/>
      </c>
      <c r="M36" s="165">
        <f>'Detallado de la inversión.'!$F$113</f>
        <v/>
      </c>
      <c r="N36" s="165">
        <f>'Detallado de la inversión.'!$F$113</f>
        <v/>
      </c>
    </row>
    <row r="37">
      <c r="B37" s="80" t="inlineStr">
        <is>
          <t xml:space="preserve">      Hosting + SaaS + Firebase OTP</t>
        </is>
      </c>
      <c r="C37" s="165">
        <f>'ESTA SI VALE'!$I$68</f>
        <v/>
      </c>
      <c r="D37" s="165">
        <f>'Detallado de la inversión.'!$F$115+'Detallado de la inversión.'!$F$116</f>
        <v/>
      </c>
      <c r="E37" s="165">
        <f>'Detallado de la inversión.'!$F$115+'Detallado de la inversión.'!$F$116</f>
        <v/>
      </c>
      <c r="F37" s="165">
        <f>'Detallado de la inversión.'!$F$115+'Detallado de la inversión.'!$F$116</f>
        <v/>
      </c>
      <c r="G37" s="165">
        <f>'Detallado de la inversión.'!$F$115+'Detallado de la inversión.'!$F$116</f>
        <v/>
      </c>
      <c r="H37" s="165">
        <f>'Detallado de la inversión.'!$F$115+'Detallado de la inversión.'!$F$116</f>
        <v/>
      </c>
      <c r="I37" s="165">
        <f>'Detallado de la inversión.'!$F$115+'Detallado de la inversión.'!$F$116</f>
        <v/>
      </c>
      <c r="J37" s="165">
        <f>'Detallado de la inversión.'!$F$115+'Detallado de la inversión.'!$F$116</f>
        <v/>
      </c>
      <c r="K37" s="165">
        <f>'Detallado de la inversión.'!$F$115+'Detallado de la inversión.'!$F$116</f>
        <v/>
      </c>
      <c r="L37" s="165">
        <f>'Detallado de la inversión.'!$F$115+'Detallado de la inversión.'!$F$116</f>
        <v/>
      </c>
      <c r="M37" s="165">
        <f>'Detallado de la inversión.'!$F$115+'Detallado de la inversión.'!$F$116</f>
        <v/>
      </c>
      <c r="N37" s="165">
        <f>'Detallado de la inversión.'!$F$115+'Detallado de la inversión.'!$F$116</f>
        <v/>
      </c>
    </row>
    <row r="38">
      <c r="B38" s="80" t="inlineStr">
        <is>
          <t xml:space="preserve">      Meta Ads</t>
        </is>
      </c>
      <c r="C38" s="165" t="n">
        <v>800</v>
      </c>
      <c r="D38" s="165">
        <f>'Detallado de la inversión.'!$F$117</f>
        <v/>
      </c>
      <c r="E38" s="165">
        <f>'Detallado de la inversión.'!$F$117</f>
        <v/>
      </c>
      <c r="F38" s="165">
        <f>'Detallado de la inversión.'!$F$117</f>
        <v/>
      </c>
      <c r="G38" s="165">
        <f>'Detallado de la inversión.'!$F$117</f>
        <v/>
      </c>
      <c r="H38" s="165">
        <f>'Detallado de la inversión.'!$F$117</f>
        <v/>
      </c>
      <c r="I38" s="165">
        <f>'Detallado de la inversión.'!$F$117</f>
        <v/>
      </c>
      <c r="J38" s="165">
        <f>'Detallado de la inversión.'!$F$117</f>
        <v/>
      </c>
      <c r="K38" s="165">
        <f>'Detallado de la inversión.'!$F$117</f>
        <v/>
      </c>
      <c r="L38" s="165">
        <f>'Detallado de la inversión.'!$F$117</f>
        <v/>
      </c>
      <c r="M38" s="165">
        <f>'Detallado de la inversión.'!$F$117</f>
        <v/>
      </c>
      <c r="N38" s="165">
        <f>'Detallado de la inversión.'!$F$117</f>
        <v/>
      </c>
      <c r="O38" s="165">
        <f>SUM(C38:N38)</f>
        <v/>
      </c>
    </row>
    <row r="39">
      <c r="B39" s="80" t="inlineStr">
        <is>
          <t xml:space="preserve">      Valla pequeña (desde M3)</t>
        </is>
      </c>
      <c r="C39" s="165" t="n">
        <v>0</v>
      </c>
      <c r="D39" s="165">
        <f>'Detallado de la inversión.'!$F$118</f>
        <v/>
      </c>
      <c r="E39" s="165">
        <f>'Detallado de la inversión.'!$F$118</f>
        <v/>
      </c>
      <c r="F39" s="165">
        <f>'Detallado de la inversión.'!$F$118</f>
        <v/>
      </c>
      <c r="G39" s="165">
        <f>'Detallado de la inversión.'!$F$118</f>
        <v/>
      </c>
      <c r="H39" s="165">
        <f>'Detallado de la inversión.'!$F$118</f>
        <v/>
      </c>
      <c r="I39" s="165">
        <f>'Detallado de la inversión.'!$F$118</f>
        <v/>
      </c>
      <c r="J39" s="165">
        <f>'Detallado de la inversión.'!$F$118</f>
        <v/>
      </c>
      <c r="K39" s="165">
        <f>'Detallado de la inversión.'!$F$118</f>
        <v/>
      </c>
      <c r="L39" s="165">
        <f>'Detallado de la inversión.'!$F$118</f>
        <v/>
      </c>
      <c r="M39" s="165">
        <f>'Detallado de la inversión.'!$F$118</f>
        <v/>
      </c>
      <c r="N39" s="165">
        <f>'Detallado de la inversión.'!$F$118</f>
        <v/>
      </c>
      <c r="O39" s="165">
        <f>SUM(C39:N39)</f>
        <v/>
      </c>
    </row>
    <row r="40">
      <c r="B40" s="80" t="inlineStr">
        <is>
          <t xml:space="preserve">      Publicidad Exterior (otros)</t>
        </is>
      </c>
      <c r="C40" s="165" t="n">
        <v>2500</v>
      </c>
      <c r="D40" s="165">
        <f>'Detallado de la inversión.'!$F$119</f>
        <v/>
      </c>
      <c r="E40" s="165">
        <f>'Detallado de la inversión.'!$F$119</f>
        <v/>
      </c>
      <c r="F40" s="165">
        <f>'Detallado de la inversión.'!$F$119</f>
        <v/>
      </c>
      <c r="G40" s="165">
        <f>'Detallado de la inversión.'!$F$119</f>
        <v/>
      </c>
      <c r="H40" s="165">
        <f>'Detallado de la inversión.'!$F$119</f>
        <v/>
      </c>
      <c r="I40" s="165">
        <f>'Detallado de la inversión.'!$F$119</f>
        <v/>
      </c>
      <c r="J40" s="165">
        <f>'Detallado de la inversión.'!$F$119</f>
        <v/>
      </c>
      <c r="K40" s="165">
        <f>'Detallado de la inversión.'!$F$119</f>
        <v/>
      </c>
      <c r="L40" s="165">
        <f>'Detallado de la inversión.'!$F$119</f>
        <v/>
      </c>
      <c r="M40" s="165">
        <f>'Detallado de la inversión.'!$F$119</f>
        <v/>
      </c>
      <c r="N40" s="165">
        <f>'Detallado de la inversión.'!$F$119</f>
        <v/>
      </c>
      <c r="O40" s="165" t="n"/>
    </row>
    <row r="41">
      <c r="B41" s="80" t="inlineStr">
        <is>
          <t xml:space="preserve">      Impuestos Varios</t>
        </is>
      </c>
      <c r="C41" s="165" t="n"/>
      <c r="D41" s="165">
        <f>'Detallado de la inversión.'!$F$114</f>
        <v/>
      </c>
      <c r="E41" s="165">
        <f>'Detallado de la inversión.'!$F$114</f>
        <v/>
      </c>
      <c r="F41" s="165">
        <f>'Detallado de la inversión.'!$F$114</f>
        <v/>
      </c>
      <c r="G41" s="165">
        <f>'Detallado de la inversión.'!$F$114</f>
        <v/>
      </c>
      <c r="H41" s="165">
        <f>'Detallado de la inversión.'!$F$114</f>
        <v/>
      </c>
      <c r="I41" s="165">
        <f>'Detallado de la inversión.'!$F$114</f>
        <v/>
      </c>
      <c r="J41" s="165">
        <f>'Detallado de la inversión.'!$F$114</f>
        <v/>
      </c>
      <c r="K41" s="165">
        <f>'Detallado de la inversión.'!$F$114</f>
        <v/>
      </c>
      <c r="L41" s="165">
        <f>'Detallado de la inversión.'!$F$114</f>
        <v/>
      </c>
      <c r="M41" s="165">
        <f>'Detallado de la inversión.'!$F$114</f>
        <v/>
      </c>
      <c r="N41" s="165">
        <f>'Detallado de la inversión.'!$F$114</f>
        <v/>
      </c>
      <c r="O41" s="165" t="n"/>
    </row>
    <row r="42">
      <c r="B42" s="80" t="inlineStr">
        <is>
          <t xml:space="preserve">      Comisiones (sales)</t>
        </is>
      </c>
      <c r="C42" s="165" t="n"/>
      <c r="D42" s="165">
        <f>'Detallado de la inversión.'!$F$120</f>
        <v/>
      </c>
      <c r="E42" s="165">
        <f>'Detallado de la inversión.'!$F$120</f>
        <v/>
      </c>
      <c r="F42" s="165">
        <f>'Detallado de la inversión.'!$F$120</f>
        <v/>
      </c>
      <c r="G42" s="165">
        <f>'Detallado de la inversión.'!$F$120</f>
        <v/>
      </c>
      <c r="H42" s="165">
        <f>'Detallado de la inversión.'!$F$120</f>
        <v/>
      </c>
      <c r="I42" s="165">
        <f>'Detallado de la inversión.'!$F$120</f>
        <v/>
      </c>
      <c r="J42" s="165">
        <f>'Detallado de la inversión.'!$F$120</f>
        <v/>
      </c>
      <c r="K42" s="165">
        <f>'Detallado de la inversión.'!$F$120</f>
        <v/>
      </c>
      <c r="L42" s="165">
        <f>'Detallado de la inversión.'!$F$120</f>
        <v/>
      </c>
      <c r="M42" s="165">
        <f>'Detallado de la inversión.'!$F$120</f>
        <v/>
      </c>
      <c r="N42" s="165">
        <f>'Detallado de la inversión.'!$F$120</f>
        <v/>
      </c>
      <c r="O42" s="165" t="n"/>
    </row>
    <row r="43" ht="15" customHeight="1" s="44">
      <c r="B43" s="80" t="inlineStr">
        <is>
          <t xml:space="preserve">      Material + transporte + contingencia (incl. buffer VE 20%)</t>
        </is>
      </c>
      <c r="C43" s="165" t="n">
        <v>1322</v>
      </c>
      <c r="D43" s="165" t="n"/>
      <c r="E43" s="165" t="n"/>
      <c r="F43" s="165" t="n"/>
      <c r="G43" s="165" t="n"/>
      <c r="H43" s="165" t="n"/>
      <c r="I43" s="165" t="n"/>
      <c r="J43" s="165" t="n"/>
      <c r="K43" s="165" t="n"/>
      <c r="L43" s="165" t="n"/>
      <c r="M43" s="165" t="n"/>
      <c r="N43" s="165" t="n"/>
      <c r="O43" s="165">
        <f>SUM(C43:N43)</f>
        <v/>
      </c>
    </row>
    <row r="44" ht="15" customHeight="1" s="44">
      <c r="B44" s="141" t="inlineStr">
        <is>
          <t>Total Costos</t>
        </is>
      </c>
      <c r="C44" s="205">
        <f>C28+C30+C31+C32+C33+C34+C35+C36+C37+C38+C39+C43</f>
        <v/>
      </c>
      <c r="D44" s="205">
        <f>SUM(D28:D43)</f>
        <v/>
      </c>
      <c r="E44" s="205">
        <f>SUM(E28:E43)</f>
        <v/>
      </c>
      <c r="F44" s="205">
        <f>SUM(F28:F43)</f>
        <v/>
      </c>
      <c r="G44" s="205">
        <f>SUM(G28:G43)</f>
        <v/>
      </c>
      <c r="H44" s="205">
        <f>SUM(H28:H43)</f>
        <v/>
      </c>
      <c r="I44" s="205">
        <f>SUM(I28:I43)</f>
        <v/>
      </c>
      <c r="J44" s="205">
        <f>SUM(J28:J43)</f>
        <v/>
      </c>
      <c r="K44" s="205">
        <f>SUM(K28:K43)</f>
        <v/>
      </c>
      <c r="L44" s="205">
        <f>SUM(L28:L43)</f>
        <v/>
      </c>
      <c r="M44" s="205">
        <f>SUM(M28:M43)</f>
        <v/>
      </c>
      <c r="N44" s="205">
        <f>SUM(N28:N43)</f>
        <v/>
      </c>
      <c r="O44" s="205">
        <f>SUM(C44:N44)</f>
        <v/>
      </c>
    </row>
    <row r="45" ht="15" customHeight="1" s="44"/>
    <row r="46" ht="15" customHeight="1" s="44">
      <c r="B46" s="141" t="inlineStr">
        <is>
          <t>FCF</t>
        </is>
      </c>
      <c r="C46" s="205">
        <f>C25-C44</f>
        <v/>
      </c>
      <c r="D46" s="205">
        <f>D25-D44</f>
        <v/>
      </c>
      <c r="E46" s="205">
        <f>E25-E44</f>
        <v/>
      </c>
      <c r="F46" s="205">
        <f>F25-F44</f>
        <v/>
      </c>
      <c r="G46" s="205">
        <f>G25-G44</f>
        <v/>
      </c>
      <c r="H46" s="205">
        <f>H25-H44</f>
        <v/>
      </c>
      <c r="I46" s="205">
        <f>I25-I44</f>
        <v/>
      </c>
      <c r="J46" s="205">
        <f>J25-J44</f>
        <v/>
      </c>
      <c r="K46" s="205">
        <f>K25-K44</f>
        <v/>
      </c>
      <c r="L46" s="205">
        <f>L25-L44</f>
        <v/>
      </c>
      <c r="M46" s="205">
        <f>M25-M44</f>
        <v/>
      </c>
      <c r="N46" s="205">
        <f>N25-N44</f>
        <v/>
      </c>
      <c r="O46" s="205">
        <f>SUM(C46:N46)</f>
        <v/>
      </c>
    </row>
    <row r="47">
      <c r="B47" s="80" t="inlineStr">
        <is>
          <t>FCF acumulado</t>
        </is>
      </c>
      <c r="C47" s="165">
        <f>C46</f>
        <v/>
      </c>
      <c r="D47" s="165">
        <f>C47+D46</f>
        <v/>
      </c>
      <c r="E47" s="165">
        <f>D47+E46</f>
        <v/>
      </c>
      <c r="F47" s="165">
        <f>E47+F46</f>
        <v/>
      </c>
      <c r="G47" s="165">
        <f>F47+G46</f>
        <v/>
      </c>
      <c r="H47" s="165">
        <f>G47+H46</f>
        <v/>
      </c>
      <c r="I47" s="165">
        <f>H47+I46</f>
        <v/>
      </c>
      <c r="J47" s="165">
        <f>I47+J46</f>
        <v/>
      </c>
      <c r="K47" s="165">
        <f>J47+K46</f>
        <v/>
      </c>
      <c r="L47" s="165">
        <f>K47+L46</f>
        <v/>
      </c>
      <c r="M47" s="165">
        <f>L47+M46</f>
        <v/>
      </c>
      <c r="N47" s="165">
        <f>M47+N46</f>
        <v/>
      </c>
      <c r="O47" s="165">
        <f>N47</f>
        <v/>
      </c>
    </row>
    <row r="48">
      <c r="B48" s="80" t="inlineStr">
        <is>
          <t>CCF (inversor SAFE 18,66%)</t>
        </is>
      </c>
      <c r="C48" s="165">
        <f>C46*$C$11</f>
        <v/>
      </c>
      <c r="D48" s="165">
        <f>D46*$C$11</f>
        <v/>
      </c>
      <c r="E48" s="165">
        <f>E46*$C$11</f>
        <v/>
      </c>
      <c r="F48" s="165">
        <f>F46*$C$11</f>
        <v/>
      </c>
      <c r="G48" s="165">
        <f>G46*$C$11</f>
        <v/>
      </c>
      <c r="H48" s="165">
        <f>H46*$C$11</f>
        <v/>
      </c>
      <c r="I48" s="165">
        <f>I46*$C$11</f>
        <v/>
      </c>
      <c r="J48" s="165">
        <f>J46*$C$11</f>
        <v/>
      </c>
      <c r="K48" s="165">
        <f>K46*$C$11</f>
        <v/>
      </c>
      <c r="L48" s="165">
        <f>L46*$C$11</f>
        <v/>
      </c>
      <c r="M48" s="165">
        <f>M46*$C$11</f>
        <v/>
      </c>
      <c r="N48" s="165">
        <f>N46*$C$11</f>
        <v/>
      </c>
    </row>
    <row r="49">
      <c r="B49" s="80" t="inlineStr">
        <is>
          <t>ECF (founders 81,34%)</t>
        </is>
      </c>
      <c r="C49" s="165">
        <f>C46-C48</f>
        <v/>
      </c>
      <c r="D49" s="165">
        <f>D46-D48</f>
        <v/>
      </c>
      <c r="E49" s="165">
        <f>E46-E48</f>
        <v/>
      </c>
      <c r="F49" s="165">
        <f>F46-F48</f>
        <v/>
      </c>
      <c r="G49" s="165">
        <f>G46-G48</f>
        <v/>
      </c>
      <c r="H49" s="165">
        <f>H46-H48</f>
        <v/>
      </c>
      <c r="I49" s="165">
        <f>I46-I48</f>
        <v/>
      </c>
      <c r="J49" s="165">
        <f>J46-J48</f>
        <v/>
      </c>
      <c r="K49" s="165">
        <f>K46-K48</f>
        <v/>
      </c>
      <c r="L49" s="165">
        <f>L46-L48</f>
        <v/>
      </c>
      <c r="M49" s="165">
        <f>M46-M48</f>
        <v/>
      </c>
      <c r="N49" s="165">
        <f>N46-N48</f>
        <v/>
      </c>
    </row>
    <row r="51">
      <c r="B51" s="93" t="inlineStr">
        <is>
          <t>Cash deployment (post Day-D)</t>
        </is>
      </c>
      <c r="C51" s="159" t="inlineStr">
        <is>
          <t>Mes 1</t>
        </is>
      </c>
      <c r="D51" s="159" t="inlineStr">
        <is>
          <t>Mes 2</t>
        </is>
      </c>
      <c r="E51" s="159" t="inlineStr">
        <is>
          <t>Mes 3</t>
        </is>
      </c>
      <c r="F51" s="159" t="inlineStr">
        <is>
          <t>Mes 4</t>
        </is>
      </c>
      <c r="G51" s="159" t="inlineStr">
        <is>
          <t>Mes 5</t>
        </is>
      </c>
      <c r="H51" s="159" t="inlineStr">
        <is>
          <t>Mes 6</t>
        </is>
      </c>
      <c r="I51" s="159" t="inlineStr">
        <is>
          <t>Mes 7</t>
        </is>
      </c>
      <c r="J51" s="159" t="inlineStr">
        <is>
          <t>Mes 8</t>
        </is>
      </c>
      <c r="K51" s="159" t="inlineStr">
        <is>
          <t>Mes 9</t>
        </is>
      </c>
      <c r="L51" s="159" t="inlineStr">
        <is>
          <t>Mes 10</t>
        </is>
      </c>
      <c r="M51" s="159" t="inlineStr">
        <is>
          <t>Mes 11</t>
        </is>
      </c>
      <c r="N51" s="159" t="inlineStr">
        <is>
          <t>Mes 12</t>
        </is>
      </c>
      <c r="O51" s="93" t="n"/>
    </row>
    <row r="52">
      <c r="B52" s="80" t="inlineStr">
        <is>
          <t>Cash inicial mes</t>
        </is>
      </c>
      <c r="C52" s="165">
        <f>'Detallado de la inversión.'!G89</f>
        <v/>
      </c>
      <c r="D52" s="165">
        <f>C53</f>
        <v/>
      </c>
      <c r="E52" s="165">
        <f>D53</f>
        <v/>
      </c>
      <c r="F52" s="165">
        <f>E53</f>
        <v/>
      </c>
      <c r="G52" s="165">
        <f>F53</f>
        <v/>
      </c>
      <c r="H52" s="165">
        <f>G53</f>
        <v/>
      </c>
      <c r="I52" s="165">
        <f>H53</f>
        <v/>
      </c>
      <c r="J52" s="165">
        <f>I53</f>
        <v/>
      </c>
      <c r="K52" s="165">
        <f>J53</f>
        <v/>
      </c>
      <c r="L52" s="165">
        <f>K53</f>
        <v/>
      </c>
      <c r="M52" s="165">
        <f>L53</f>
        <v/>
      </c>
      <c r="N52" s="165">
        <f>M53</f>
        <v/>
      </c>
    </row>
    <row r="53">
      <c r="B53" s="80" t="inlineStr">
        <is>
          <t>Cash final mes</t>
        </is>
      </c>
      <c r="C53" s="165">
        <f>C52+C25-C44</f>
        <v/>
      </c>
      <c r="D53" s="165">
        <f>D52+D25-D44</f>
        <v/>
      </c>
      <c r="E53" s="165">
        <f>E52+E25-E44</f>
        <v/>
      </c>
      <c r="F53" s="165">
        <f>F52+F25-F44</f>
        <v/>
      </c>
      <c r="G53" s="165">
        <f>G52+G25-G44</f>
        <v/>
      </c>
      <c r="H53" s="165">
        <f>H52+H25-H44</f>
        <v/>
      </c>
      <c r="I53" s="165">
        <f>I52+I25-I44</f>
        <v/>
      </c>
      <c r="J53" s="165">
        <f>J52+J25-J44</f>
        <v/>
      </c>
      <c r="K53" s="165">
        <f>K52+K25-K44</f>
        <v/>
      </c>
      <c r="L53" s="165">
        <f>L52+L25-L44</f>
        <v/>
      </c>
      <c r="M53" s="165">
        <f>M52+M25-M44</f>
        <v/>
      </c>
      <c r="N53" s="165">
        <f>N52+N25-N44</f>
        <v/>
      </c>
    </row>
  </sheetData>
  <mergeCells count="6">
    <mergeCell ref="F3:G3"/>
    <mergeCell ref="F4:G4"/>
    <mergeCell ref="C16:N16"/>
    <mergeCell ref="I2:N2"/>
    <mergeCell ref="F5:G5"/>
    <mergeCell ref="F6:G6"/>
  </mergeCells>
  <pageMargins left="0.75" right="0.75" top="1" bottom="1" header="0.511811023622047" footer="0.511811023622047"/>
  <pageSetup orientation="portrait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49"/>
  <sheetViews>
    <sheetView zoomScale="110" zoomScaleNormal="110" workbookViewId="0">
      <pane xSplit="2" ySplit="15" topLeftCell="F40" activePane="bottomRight" state="frozen"/>
      <selection pane="topRight" activeCell="A1" sqref="A1"/>
      <selection pane="bottomLeft" activeCell="A1" sqref="A1"/>
      <selection pane="bottomRight" activeCell="B29" sqref="B29"/>
    </sheetView>
  </sheetViews>
  <sheetFormatPr baseColWidth="10" defaultColWidth="8.6640625" defaultRowHeight="14.4"/>
  <cols>
    <col width="1.21875" customWidth="1" style="44" min="1" max="1"/>
    <col width="58.88671875" customWidth="1" style="44" min="2" max="2"/>
    <col width="25.5546875" customWidth="1" style="44" min="3" max="3"/>
    <col width="15.5546875" customWidth="1" style="44" min="4" max="4"/>
    <col width="11" customWidth="1" style="44" min="5" max="13"/>
    <col width="13.33203125" customWidth="1" style="44" min="14" max="14"/>
    <col width="16.88671875" customWidth="1" style="44" min="15" max="15"/>
  </cols>
  <sheetData>
    <row r="2">
      <c r="B2" s="16" t="inlineStr">
        <is>
          <t>ITEMS</t>
        </is>
      </c>
      <c r="C2" s="16" t="inlineStr">
        <is>
          <t>DATOS</t>
        </is>
      </c>
      <c r="F2" t="inlineStr">
        <is>
          <t>Average Revenue per Firm</t>
        </is>
      </c>
    </row>
    <row r="3">
      <c r="B3" s="17" t="inlineStr">
        <is>
          <t>ARPF placeholder USD/mes</t>
        </is>
      </c>
      <c r="C3" s="206" t="n">
        <v>50</v>
      </c>
      <c r="F3" t="inlineStr">
        <is>
          <t>Fact promedio</t>
        </is>
      </c>
    </row>
    <row r="4">
      <c r="B4" s="19" t="inlineStr">
        <is>
          <t>Cuota Basic USD/mes</t>
        </is>
      </c>
      <c r="C4" s="207" t="n">
        <v>45</v>
      </c>
      <c r="D4" s="25" t="n">
        <v>0.12</v>
      </c>
      <c r="E4" t="inlineStr">
        <is>
          <t>Hasta 2000</t>
        </is>
      </c>
      <c r="I4" t="inlineStr">
        <is>
          <t>ARPF</t>
        </is>
      </c>
      <c r="J4">
        <f>2000*0.14</f>
        <v/>
      </c>
    </row>
    <row r="5">
      <c r="B5" s="17" t="inlineStr">
        <is>
          <t>Cuota Pro USD/mes</t>
        </is>
      </c>
      <c r="C5" s="206" t="n">
        <v>60</v>
      </c>
      <c r="D5" s="25" t="n">
        <v>0.1</v>
      </c>
      <c r="E5" t="inlineStr">
        <is>
          <t>2000-5000</t>
        </is>
      </c>
      <c r="J5">
        <f>4000*0.12</f>
        <v/>
      </c>
    </row>
    <row r="6">
      <c r="B6" s="19" t="inlineStr">
        <is>
          <t>Cuota Enterprise USD/mes</t>
        </is>
      </c>
      <c r="C6" s="207" t="n">
        <v>70</v>
      </c>
      <c r="D6" s="25" t="n">
        <v>0.08</v>
      </c>
      <c r="E6" t="inlineStr">
        <is>
          <t>mas 5000</t>
        </is>
      </c>
      <c r="J6">
        <f>5000*0.11</f>
        <v/>
      </c>
    </row>
    <row r="7">
      <c r="B7" s="17" t="inlineStr">
        <is>
          <t>Mix Basic (ponderador)</t>
        </is>
      </c>
      <c r="C7" s="206" t="n">
        <v>0.6</v>
      </c>
      <c r="D7">
        <f>C7*$C$19</f>
        <v/>
      </c>
      <c r="E7" s="208">
        <f>D7*C4</f>
        <v/>
      </c>
      <c r="F7" s="208" t="n">
        <v>750</v>
      </c>
      <c r="G7" s="208">
        <f>D7*F7</f>
        <v/>
      </c>
      <c r="H7" s="209">
        <f>G7*D4</f>
        <v/>
      </c>
    </row>
    <row r="8">
      <c r="B8" s="19" t="inlineStr">
        <is>
          <t>Mix Pro (ponderador)</t>
        </is>
      </c>
      <c r="C8" s="207" t="n">
        <v>0.3</v>
      </c>
      <c r="D8">
        <f>C8*$C$19</f>
        <v/>
      </c>
      <c r="E8" s="208">
        <f>D8*C5</f>
        <v/>
      </c>
      <c r="F8" s="208" t="n">
        <v>2000</v>
      </c>
      <c r="G8" s="208">
        <f>D8*F8</f>
        <v/>
      </c>
      <c r="H8" s="209">
        <f>G8*D5</f>
        <v/>
      </c>
      <c r="I8">
        <f>65*0.95</f>
        <v/>
      </c>
    </row>
    <row r="9">
      <c r="B9" s="17" t="inlineStr">
        <is>
          <t>Mix Enterprise (ponderador)</t>
        </is>
      </c>
      <c r="C9" s="206" t="n">
        <v>0.1</v>
      </c>
      <c r="D9">
        <f>C9*$C$19</f>
        <v/>
      </c>
      <c r="E9" s="208">
        <f>D9*C6</f>
        <v/>
      </c>
      <c r="F9" s="208" t="n">
        <v>5000</v>
      </c>
      <c r="G9" s="208">
        <f>D9*F9</f>
        <v/>
      </c>
      <c r="H9" s="209">
        <f>G9*D6</f>
        <v/>
      </c>
    </row>
    <row r="10">
      <c r="B10" s="19" t="inlineStr">
        <is>
          <t>Churn mensual target</t>
        </is>
      </c>
      <c r="C10" s="210" t="n">
        <v>0.05</v>
      </c>
      <c r="D10" t="inlineStr">
        <is>
          <t>perdida clientes mes a mes</t>
        </is>
      </c>
      <c r="E10">
        <f>SUM(E7:E9)</f>
        <v/>
      </c>
      <c r="G10" s="209">
        <f>SUM(G7:G9)</f>
        <v/>
      </c>
      <c r="H10" s="209">
        <f>SUM(H7:H9)</f>
        <v/>
      </c>
    </row>
    <row r="11">
      <c r="B11" s="17" t="inlineStr">
        <is>
          <t>Participación Inversor SAFE</t>
        </is>
      </c>
      <c r="C11" s="211" t="n">
        <v>0.1866</v>
      </c>
    </row>
    <row r="12">
      <c r="B12" s="19" t="inlineStr">
        <is>
          <t>Participación Founders</t>
        </is>
      </c>
      <c r="C12" s="210">
        <f>1-C11</f>
        <v/>
      </c>
      <c r="H12">
        <f>C22/C19</f>
        <v/>
      </c>
      <c r="K12">
        <f>C22/C19</f>
        <v/>
      </c>
    </row>
    <row r="13">
      <c r="B13" s="17" t="inlineStr">
        <is>
          <t>Tasa descuento VAN</t>
        </is>
      </c>
      <c r="C13" s="211" t="n">
        <v>0.25</v>
      </c>
      <c r="F13">
        <f>40*32.5</f>
        <v/>
      </c>
      <c r="I13">
        <f>50-32.5</f>
        <v/>
      </c>
      <c r="J13">
        <f>I13*C19</f>
        <v/>
      </c>
    </row>
    <row r="14">
      <c r="B14" s="19" t="inlineStr">
        <is>
          <t>Capital SAFE Lean (USD)</t>
        </is>
      </c>
      <c r="C14" s="207" t="n">
        <v>111988</v>
      </c>
    </row>
    <row r="15">
      <c r="B15" s="17" t="inlineStr">
        <is>
          <t>Nota escenario</t>
        </is>
      </c>
      <c r="C15" s="17" t="inlineStr">
        <is>
          <t>Lean ancla pack</t>
        </is>
      </c>
    </row>
    <row r="16">
      <c r="B16" s="23" t="inlineStr">
        <is>
          <t>AÑO 1</t>
        </is>
      </c>
      <c r="C16" s="43" t="inlineStr">
        <is>
          <t>AÑO 1</t>
        </is>
      </c>
    </row>
    <row r="17">
      <c r="C17" s="53" t="inlineStr">
        <is>
          <t>Mes 1</t>
        </is>
      </c>
      <c r="D17" s="53" t="inlineStr">
        <is>
          <t>Mes 2</t>
        </is>
      </c>
      <c r="E17" s="53" t="inlineStr">
        <is>
          <t>Mes 3</t>
        </is>
      </c>
      <c r="F17" s="53" t="inlineStr">
        <is>
          <t>Mes 4</t>
        </is>
      </c>
      <c r="G17" s="53" t="inlineStr">
        <is>
          <t>Mes 5</t>
        </is>
      </c>
      <c r="H17" s="53" t="inlineStr">
        <is>
          <t>Mes 6</t>
        </is>
      </c>
      <c r="I17" s="53" t="inlineStr">
        <is>
          <t>Mes 7</t>
        </is>
      </c>
      <c r="J17" s="53" t="inlineStr">
        <is>
          <t>Mes 8</t>
        </is>
      </c>
      <c r="K17" s="53" t="inlineStr">
        <is>
          <t>Mes 9</t>
        </is>
      </c>
      <c r="L17" s="53" t="inlineStr">
        <is>
          <t>Mes 10</t>
        </is>
      </c>
      <c r="M17" s="53" t="inlineStr">
        <is>
          <t>Mes 11</t>
        </is>
      </c>
      <c r="N17" s="53" t="inlineStr">
        <is>
          <t>Mes 12</t>
        </is>
      </c>
      <c r="O17" s="53" t="inlineStr">
        <is>
          <t>TOTAL</t>
        </is>
      </c>
    </row>
    <row r="18">
      <c r="B18" s="55" t="inlineStr">
        <is>
          <t>Farmacias firmadas (altas mes)</t>
        </is>
      </c>
      <c r="C18" s="187" t="n">
        <v>13</v>
      </c>
      <c r="D18" s="187" t="n">
        <v>13</v>
      </c>
      <c r="E18" s="187" t="n">
        <v>14</v>
      </c>
      <c r="F18" s="187" t="n">
        <v>15</v>
      </c>
      <c r="G18" s="187" t="n">
        <v>15</v>
      </c>
      <c r="H18" s="187" t="n">
        <v>16</v>
      </c>
      <c r="I18" s="187" t="n">
        <v>16</v>
      </c>
      <c r="J18" s="187" t="n">
        <v>16</v>
      </c>
      <c r="K18" s="187" t="n">
        <v>17</v>
      </c>
      <c r="L18" s="187" t="n">
        <v>17</v>
      </c>
      <c r="M18" s="187" t="n">
        <v>17</v>
      </c>
      <c r="N18" s="187" t="n">
        <v>16</v>
      </c>
      <c r="O18" s="187">
        <f>SUM(C18:N18)</f>
        <v/>
      </c>
    </row>
    <row r="19">
      <c r="B19" s="55" t="inlineStr">
        <is>
          <t>Farmacias activas (stock cierre mes)</t>
        </is>
      </c>
      <c r="C19" s="187" t="n">
        <v>25</v>
      </c>
      <c r="D19" s="187" t="n">
        <v>36</v>
      </c>
      <c r="E19" s="187" t="n">
        <v>48</v>
      </c>
      <c r="F19" s="187" t="n">
        <v>59</v>
      </c>
      <c r="G19" s="187" t="n">
        <v>71</v>
      </c>
      <c r="H19" s="187" t="n">
        <v>82</v>
      </c>
      <c r="I19" s="187" t="n">
        <v>93</v>
      </c>
      <c r="J19" s="187" t="n">
        <v>104</v>
      </c>
      <c r="K19" s="187" t="n">
        <v>115</v>
      </c>
      <c r="L19" s="187" t="n">
        <v>125</v>
      </c>
      <c r="M19" s="187" t="n">
        <v>135</v>
      </c>
      <c r="N19" s="187">
        <f>(M19+N18)*0.95</f>
        <v/>
      </c>
      <c r="O19" s="187">
        <f>N19</f>
        <v/>
      </c>
    </row>
    <row r="20">
      <c r="D20" t="n">
        <v>36</v>
      </c>
      <c r="E20" t="n">
        <v>48</v>
      </c>
      <c r="F20" t="n">
        <v>59</v>
      </c>
      <c r="G20" t="n">
        <v>71</v>
      </c>
      <c r="H20" t="n">
        <v>82</v>
      </c>
      <c r="I20" t="n">
        <v>93</v>
      </c>
      <c r="J20" t="n">
        <v>104</v>
      </c>
      <c r="K20" t="n">
        <v>115</v>
      </c>
      <c r="L20" t="n">
        <v>125</v>
      </c>
      <c r="M20" t="n">
        <v>135</v>
      </c>
      <c r="N20" t="n">
        <v>144</v>
      </c>
    </row>
    <row r="21">
      <c r="B21" s="52" t="inlineStr">
        <is>
          <t>Ingresos ($)</t>
        </is>
      </c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</row>
    <row r="22">
      <c r="B22" s="55" t="inlineStr">
        <is>
          <t xml:space="preserve">      Ingresos cuota fija B2B</t>
        </is>
      </c>
      <c r="C22" s="187">
        <f>C19*($C$7*$C$4+$C$8*$C$5+$C$9*$C$6)</f>
        <v/>
      </c>
      <c r="D22" s="187">
        <f>D19*($C$7*$C$4+$C$8*$C$5+$C$9*$C$6)</f>
        <v/>
      </c>
      <c r="E22" s="187">
        <f>E19*($C$7*$C$4+$C$8*$C$5+$C$9*$C$6)</f>
        <v/>
      </c>
      <c r="F22" s="187">
        <f>F19*($C$7*$C$4+$C$8*$C$5+$C$9*$C$6)</f>
        <v/>
      </c>
      <c r="G22" s="187">
        <f>G19*($C$7*$C$4+$C$8*$C$5+$C$9*$C$6)</f>
        <v/>
      </c>
      <c r="H22" s="187">
        <f>H19*($C$7*$C$4+$C$8*$C$5+$C$9*$C$6)</f>
        <v/>
      </c>
      <c r="I22" s="187">
        <f>I19*($C$7*$C$4+$C$8*$C$5+$C$9*$C$6)</f>
        <v/>
      </c>
      <c r="J22" s="187">
        <f>J19*($C$7*$C$4+$C$8*$C$5+$C$9*$C$6)</f>
        <v/>
      </c>
      <c r="K22" s="187">
        <f>K19*($C$7*$C$4+$C$8*$C$5+$C$9*$C$6)</f>
        <v/>
      </c>
      <c r="L22" s="187">
        <f>L19*($C$7*$C$4+$C$8*$C$5+$C$9*$C$6)</f>
        <v/>
      </c>
      <c r="M22" s="187">
        <f>M19*($C$7*$C$4+$C$8*$C$5+$C$9*$C$6)</f>
        <v/>
      </c>
      <c r="N22" s="187">
        <f>N19*($C$7*$C$4+$C$8*$C$5+$C$9*$C$6)</f>
        <v/>
      </c>
      <c r="O22" s="187">
        <f>SUM(C22:N22)</f>
        <v/>
      </c>
    </row>
    <row r="23">
      <c r="B23" s="55" t="inlineStr">
        <is>
          <t xml:space="preserve">      Ingresos comisión % GMV [EDITAR]</t>
        </is>
      </c>
      <c r="C23" s="187">
        <f>(((C19*$C$7)*$F$7)*$D$4)+(((C19*$C$8)*$F$8)*$D$5)+(((C19*$C$9)*$F$9)*$D$6)</f>
        <v/>
      </c>
      <c r="D23" s="187">
        <f>(((D19*$C$7)*$F$7)*$D$4)+(((D19*$C$8)*$F$8)*$D$5)+(((D19*$C$9)*$F$9)*$D$6)</f>
        <v/>
      </c>
      <c r="E23" s="187">
        <f>(((E19*$C$7)*$F$7)*$D$4)+(((E19*$C$8)*$F$8)*$D$5)+(((E19*$C$9)*$F$9)*$D$6)</f>
        <v/>
      </c>
      <c r="F23" s="187">
        <f>(((F19*$C$7)*$F$7)*$D$4)+(((F19*$C$8)*$F$8)*$D$5)+(((F19*$C$9)*$F$9)*$D$6)</f>
        <v/>
      </c>
      <c r="G23" s="187">
        <f>(((G19*$C$7)*$F$7)*$D$4)+(((G19*$C$8)*$F$8)*$D$5)+(((G19*$C$9)*$F$9)*$D$6)</f>
        <v/>
      </c>
      <c r="H23" s="187">
        <f>(((H19*$C$7)*$F$7)*$D$4)+(((H19*$C$8)*$F$8)*$D$5)+(((H19*$C$9)*$F$9)*$D$6)</f>
        <v/>
      </c>
      <c r="I23" s="187">
        <f>(((I19*$C$7)*$F$7)*$D$4)+(((I19*$C$8)*$F$8)*$D$5)+(((I19*$C$9)*$F$9)*$D$6)</f>
        <v/>
      </c>
      <c r="J23" s="187">
        <f>(((J19*$C$7)*$F$7)*$D$4)+(((J19*$C$8)*$F$8)*$D$5)+(((J19*$C$9)*$F$9)*$D$6)</f>
        <v/>
      </c>
      <c r="K23" s="187">
        <f>(((K19*$C$7)*$F$7)*$D$4)+(((K19*$C$8)*$F$8)*$D$5)+(((K19*$C$9)*$F$9)*$D$6)</f>
        <v/>
      </c>
      <c r="L23" s="187">
        <f>(((L19*$C$7)*$F$7)*$D$4)+(((L19*$C$8)*$F$8)*$D$5)+(((L19*$C$9)*$F$9)*$D$6)</f>
        <v/>
      </c>
      <c r="M23" s="187">
        <f>(((M19*$C$7)*$F$7)*$D$4)+(((M19*$C$8)*$F$8)*$D$5)+(((M19*$C$9)*$F$9)*$D$6)</f>
        <v/>
      </c>
      <c r="N23" s="187">
        <f>(((N19*$C$7)*$F$7)*$D$4)+(((N19*$C$8)*$F$8)*$D$5)+(((N19*$C$9)*$F$9)*$D$6)</f>
        <v/>
      </c>
      <c r="O23" s="187">
        <f>SUM(C23:N23)</f>
        <v/>
      </c>
    </row>
    <row r="24" ht="15" customHeight="1" s="44">
      <c r="B24" s="55" t="n"/>
      <c r="C24" s="187" t="n"/>
      <c r="D24" s="187" t="n"/>
      <c r="E24" s="187" t="n"/>
      <c r="F24" s="187" t="n"/>
      <c r="G24" s="187" t="n"/>
      <c r="H24" s="187" t="n"/>
      <c r="I24" s="187" t="n"/>
      <c r="J24" s="187" t="n"/>
      <c r="K24" s="187" t="n"/>
      <c r="L24" s="187" t="n"/>
      <c r="M24" s="187" t="n"/>
      <c r="N24" s="187" t="n"/>
      <c r="O24" s="187">
        <f>SUM(C24:N24)</f>
        <v/>
      </c>
    </row>
    <row r="25" ht="15" customHeight="1" s="44">
      <c r="B25" s="12" t="inlineStr">
        <is>
          <t>Total Ingresos</t>
        </is>
      </c>
      <c r="C25" s="189">
        <f>C22+C23+C24</f>
        <v/>
      </c>
      <c r="D25" s="189">
        <f>D22+D23+D24</f>
        <v/>
      </c>
      <c r="E25" s="189">
        <f>E22+E23+E24</f>
        <v/>
      </c>
      <c r="F25" s="189">
        <f>F22+F23+F24</f>
        <v/>
      </c>
      <c r="G25" s="189">
        <f>G22+G23+G24</f>
        <v/>
      </c>
      <c r="H25" s="189">
        <f>H22+H23+H24</f>
        <v/>
      </c>
      <c r="I25" s="189">
        <f>I22+I23+I24</f>
        <v/>
      </c>
      <c r="J25" s="189">
        <f>J22+J23+J24</f>
        <v/>
      </c>
      <c r="K25" s="189">
        <f>K22+K23+K24</f>
        <v/>
      </c>
      <c r="L25" s="189">
        <f>L22+L23+L24</f>
        <v/>
      </c>
      <c r="M25" s="189">
        <f>M22+M23+M24</f>
        <v/>
      </c>
      <c r="N25" s="189">
        <f>N22+N23+N24</f>
        <v/>
      </c>
      <c r="O25" s="189">
        <f>SUM(C25:N25)</f>
        <v/>
      </c>
    </row>
    <row r="27">
      <c r="B27" s="52" t="inlineStr">
        <is>
          <t>Costos ($)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</row>
    <row r="28">
      <c r="B28" s="55" t="inlineStr">
        <is>
          <t xml:space="preserve">      Dev junior (Flutter/Laravel)</t>
        </is>
      </c>
      <c r="C28" s="187">
        <f>'ESTA SI VALE'!$I$60</f>
        <v/>
      </c>
      <c r="D28" s="187">
        <f>'ESTA SI VALE'!$I$60</f>
        <v/>
      </c>
      <c r="E28" s="187">
        <f>'ESTA SI VALE'!$I$60</f>
        <v/>
      </c>
      <c r="F28" s="187">
        <f>'ESTA SI VALE'!$I$60</f>
        <v/>
      </c>
      <c r="G28" s="187">
        <f>'ESTA SI VALE'!$I$60</f>
        <v/>
      </c>
      <c r="H28" s="187">
        <f>'ESTA SI VALE'!$I$60</f>
        <v/>
      </c>
      <c r="I28" s="187">
        <f>'ESTA SI VALE'!$I$60</f>
        <v/>
      </c>
      <c r="J28" s="187">
        <f>'ESTA SI VALE'!$I$60</f>
        <v/>
      </c>
      <c r="K28" s="187">
        <f>'ESTA SI VALE'!$I$60</f>
        <v/>
      </c>
      <c r="L28" s="187">
        <f>'ESTA SI VALE'!$I$60</f>
        <v/>
      </c>
      <c r="M28" s="187">
        <f>'ESTA SI VALE'!$I$60</f>
        <v/>
      </c>
      <c r="N28" s="187">
        <f>'ESTA SI VALE'!$I$60</f>
        <v/>
      </c>
    </row>
    <row r="29">
      <c r="B29" s="55" t="inlineStr">
        <is>
          <t xml:space="preserve">      4× Sales B2B</t>
        </is>
      </c>
      <c r="C29" s="187">
        <f>'ESTA SI VALE'!$I$61</f>
        <v/>
      </c>
      <c r="D29" s="187">
        <f>'ESTA SI VALE'!$I$61</f>
        <v/>
      </c>
      <c r="E29" s="187">
        <f>'ESTA SI VALE'!$I$61</f>
        <v/>
      </c>
      <c r="F29" s="187">
        <f>'ESTA SI VALE'!$I$61</f>
        <v/>
      </c>
      <c r="G29" s="187">
        <f>'ESTA SI VALE'!$I$61</f>
        <v/>
      </c>
      <c r="H29" s="187">
        <f>'ESTA SI VALE'!$I$61</f>
        <v/>
      </c>
      <c r="I29" s="187">
        <f>'ESTA SI VALE'!$I$61</f>
        <v/>
      </c>
      <c r="J29" s="187">
        <f>'ESTA SI VALE'!$I$61</f>
        <v/>
      </c>
      <c r="K29" s="187">
        <f>'ESTA SI VALE'!$I$61</f>
        <v/>
      </c>
      <c r="L29" s="187">
        <f>'ESTA SI VALE'!$I$61</f>
        <v/>
      </c>
      <c r="M29" s="187">
        <f>'ESTA SI VALE'!$I$61</f>
        <v/>
      </c>
      <c r="N29" s="187">
        <f>'ESTA SI VALE'!$I$61</f>
        <v/>
      </c>
    </row>
    <row r="30">
      <c r="B30" s="55" t="inlineStr">
        <is>
          <t xml:space="preserve">      CS + Community Manager</t>
        </is>
      </c>
      <c r="C30" s="187">
        <f>'ESTA SI VALE'!$I$62</f>
        <v/>
      </c>
      <c r="D30" s="187">
        <f>'ESTA SI VALE'!$I$62</f>
        <v/>
      </c>
      <c r="E30" s="187">
        <f>'ESTA SI VALE'!$I$62</f>
        <v/>
      </c>
      <c r="F30" s="187">
        <f>'ESTA SI VALE'!$I$62</f>
        <v/>
      </c>
      <c r="G30" s="187">
        <f>'ESTA SI VALE'!$I$62</f>
        <v/>
      </c>
      <c r="H30" s="187">
        <f>'ESTA SI VALE'!$I$62</f>
        <v/>
      </c>
      <c r="I30" s="187">
        <f>'ESTA SI VALE'!$I$62</f>
        <v/>
      </c>
      <c r="J30" s="187">
        <f>'ESTA SI VALE'!$I$62</f>
        <v/>
      </c>
      <c r="K30" s="187">
        <f>'ESTA SI VALE'!$I$62</f>
        <v/>
      </c>
      <c r="L30" s="187">
        <f>'ESTA SI VALE'!$I$62</f>
        <v/>
      </c>
      <c r="M30" s="187">
        <f>'ESTA SI VALE'!$I$62</f>
        <v/>
      </c>
      <c r="N30" s="187">
        <f>'ESTA SI VALE'!$I$62</f>
        <v/>
      </c>
    </row>
    <row r="31">
      <c r="B31" s="55" t="inlineStr">
        <is>
          <t xml:space="preserve">      Founder + Co-CEO</t>
        </is>
      </c>
      <c r="C31" s="187">
        <f>'ESTA SI VALE'!$I$63</f>
        <v/>
      </c>
      <c r="D31" s="187">
        <f>'ESTA SI VALE'!$I$63</f>
        <v/>
      </c>
      <c r="E31" s="187">
        <f>'ESTA SI VALE'!$I$63</f>
        <v/>
      </c>
      <c r="F31" s="187">
        <f>'ESTA SI VALE'!$I$63</f>
        <v/>
      </c>
      <c r="G31" s="187">
        <f>'ESTA SI VALE'!$I$63</f>
        <v/>
      </c>
      <c r="H31" s="187">
        <f>'ESTA SI VALE'!$I$63</f>
        <v/>
      </c>
      <c r="I31" s="187">
        <f>'ESTA SI VALE'!$I$63</f>
        <v/>
      </c>
      <c r="J31" s="187">
        <f>'ESTA SI VALE'!$I$63</f>
        <v/>
      </c>
      <c r="K31" s="187">
        <f>'ESTA SI VALE'!$I$63</f>
        <v/>
      </c>
      <c r="L31" s="187">
        <f>'ESTA SI VALE'!$I$63</f>
        <v/>
      </c>
      <c r="M31" s="187">
        <f>'ESTA SI VALE'!$I$63</f>
        <v/>
      </c>
      <c r="N31" s="187">
        <f>'ESTA SI VALE'!$I$63</f>
        <v/>
      </c>
    </row>
    <row r="32">
      <c r="B32" s="55" t="inlineStr">
        <is>
          <t xml:space="preserve">      Herramientas IA</t>
        </is>
      </c>
      <c r="C32" s="187">
        <f>'ESTA SI VALE'!$I$64</f>
        <v/>
      </c>
      <c r="D32" s="187">
        <f>'ESTA SI VALE'!$I$64</f>
        <v/>
      </c>
      <c r="E32" s="187">
        <f>'ESTA SI VALE'!$I$64</f>
        <v/>
      </c>
      <c r="F32" s="187">
        <f>'ESTA SI VALE'!$I$64</f>
        <v/>
      </c>
      <c r="G32" s="187">
        <f>'ESTA SI VALE'!$I$64</f>
        <v/>
      </c>
      <c r="H32" s="187">
        <f>'ESTA SI VALE'!$I$64</f>
        <v/>
      </c>
      <c r="I32" s="187">
        <f>'ESTA SI VALE'!$I$64</f>
        <v/>
      </c>
      <c r="J32" s="187">
        <f>'ESTA SI VALE'!$I$64</f>
        <v/>
      </c>
      <c r="K32" s="187">
        <f>'ESTA SI VALE'!$I$64</f>
        <v/>
      </c>
      <c r="L32" s="187">
        <f>'ESTA SI VALE'!$I$64</f>
        <v/>
      </c>
      <c r="M32" s="187">
        <f>'ESTA SI VALE'!$I$64</f>
        <v/>
      </c>
      <c r="N32" s="187">
        <f>'ESTA SI VALE'!$I$64</f>
        <v/>
      </c>
    </row>
    <row r="33">
      <c r="B33" s="55" t="inlineStr">
        <is>
          <t xml:space="preserve">      Contador + Abogado</t>
        </is>
      </c>
      <c r="C33" s="187">
        <f>'ESTA SI VALE'!$I$65</f>
        <v/>
      </c>
      <c r="D33" s="187">
        <f>'ESTA SI VALE'!$I$65</f>
        <v/>
      </c>
      <c r="E33" s="187">
        <f>'ESTA SI VALE'!$I$65</f>
        <v/>
      </c>
      <c r="F33" s="187">
        <f>'ESTA SI VALE'!$I$65</f>
        <v/>
      </c>
      <c r="G33" s="187">
        <f>'ESTA SI VALE'!$I$65</f>
        <v/>
      </c>
      <c r="H33" s="187">
        <f>'ESTA SI VALE'!$I$65</f>
        <v/>
      </c>
      <c r="I33" s="187">
        <f>'ESTA SI VALE'!$I$65</f>
        <v/>
      </c>
      <c r="J33" s="187">
        <f>'ESTA SI VALE'!$I$65</f>
        <v/>
      </c>
      <c r="K33" s="187">
        <f>'ESTA SI VALE'!$I$65</f>
        <v/>
      </c>
      <c r="L33" s="187">
        <f>'ESTA SI VALE'!$I$65</f>
        <v/>
      </c>
      <c r="M33" s="187">
        <f>'ESTA SI VALE'!$I$65</f>
        <v/>
      </c>
      <c r="N33" s="187">
        <f>'ESTA SI VALE'!$I$65</f>
        <v/>
      </c>
    </row>
    <row r="34">
      <c r="B34" s="55" t="inlineStr">
        <is>
          <t xml:space="preserve">      HQ casa (arriendo + servicios)</t>
        </is>
      </c>
      <c r="C34" s="187">
        <f>'ESTA SI VALE'!$I$66</f>
        <v/>
      </c>
      <c r="D34" s="187">
        <f>'ESTA SI VALE'!$I$66</f>
        <v/>
      </c>
      <c r="E34" s="187">
        <f>'ESTA SI VALE'!$I$66</f>
        <v/>
      </c>
      <c r="F34" s="187">
        <f>'ESTA SI VALE'!$I$66</f>
        <v/>
      </c>
      <c r="G34" s="187">
        <f>'ESTA SI VALE'!$I$66</f>
        <v/>
      </c>
      <c r="H34" s="187">
        <f>'ESTA SI VALE'!$I$66</f>
        <v/>
      </c>
      <c r="I34" s="187">
        <f>'ESTA SI VALE'!$I$66</f>
        <v/>
      </c>
      <c r="J34" s="187">
        <f>'ESTA SI VALE'!$I$66</f>
        <v/>
      </c>
      <c r="K34" s="187">
        <f>'ESTA SI VALE'!$I$66</f>
        <v/>
      </c>
      <c r="L34" s="187">
        <f>'ESTA SI VALE'!$I$66</f>
        <v/>
      </c>
      <c r="M34" s="187">
        <f>'ESTA SI VALE'!$I$66</f>
        <v/>
      </c>
      <c r="N34" s="187">
        <f>'ESTA SI VALE'!$I$66</f>
        <v/>
      </c>
    </row>
    <row r="35">
      <c r="B35" s="55" t="inlineStr">
        <is>
          <t xml:space="preserve">      Servicios oficina (electricidad, agua, internet)</t>
        </is>
      </c>
      <c r="C35" s="187">
        <f>'ESTA SI VALE'!$I$67</f>
        <v/>
      </c>
      <c r="D35" s="187">
        <f>'ESTA SI VALE'!$I$67</f>
        <v/>
      </c>
      <c r="E35" s="187">
        <f>'ESTA SI VALE'!$I$67</f>
        <v/>
      </c>
      <c r="F35" s="187">
        <f>'ESTA SI VALE'!$I$67</f>
        <v/>
      </c>
      <c r="G35" s="187">
        <f>'ESTA SI VALE'!$I$67</f>
        <v/>
      </c>
      <c r="H35" s="187">
        <f>'ESTA SI VALE'!$I$67</f>
        <v/>
      </c>
      <c r="I35" s="187">
        <f>'ESTA SI VALE'!$I$67</f>
        <v/>
      </c>
      <c r="J35" s="187">
        <f>'ESTA SI VALE'!$I$67</f>
        <v/>
      </c>
      <c r="K35" s="187">
        <f>'ESTA SI VALE'!$I$67</f>
        <v/>
      </c>
      <c r="L35" s="187">
        <f>'ESTA SI VALE'!$I$67</f>
        <v/>
      </c>
      <c r="M35" s="187">
        <f>'ESTA SI VALE'!$I$67</f>
        <v/>
      </c>
      <c r="N35" s="187">
        <f>'ESTA SI VALE'!$I$67</f>
        <v/>
      </c>
    </row>
    <row r="36">
      <c r="B36" s="55" t="inlineStr">
        <is>
          <t xml:space="preserve">      Hosting + SaaS + Firebase OTP</t>
        </is>
      </c>
      <c r="C36" s="187">
        <f>'ESTA SI VALE'!$I$68</f>
        <v/>
      </c>
      <c r="D36" s="187">
        <f>'ESTA SI VALE'!$I$68</f>
        <v/>
      </c>
      <c r="E36" s="187">
        <f>'ESTA SI VALE'!$I$68</f>
        <v/>
      </c>
      <c r="F36" s="187">
        <f>'ESTA SI VALE'!$I$68</f>
        <v/>
      </c>
      <c r="G36" s="187">
        <f>'ESTA SI VALE'!$I$68</f>
        <v/>
      </c>
      <c r="H36" s="187">
        <f>'ESTA SI VALE'!$I$68</f>
        <v/>
      </c>
      <c r="I36" s="187">
        <f>'ESTA SI VALE'!$I$68</f>
        <v/>
      </c>
      <c r="J36" s="187">
        <f>'ESTA SI VALE'!$I$68</f>
        <v/>
      </c>
      <c r="K36" s="187">
        <f>'ESTA SI VALE'!$I$68</f>
        <v/>
      </c>
      <c r="L36" s="187">
        <f>'ESTA SI VALE'!$I$68</f>
        <v/>
      </c>
      <c r="M36" s="187">
        <f>'ESTA SI VALE'!$I$68</f>
        <v/>
      </c>
      <c r="N36" s="187">
        <f>'ESTA SI VALE'!$I$68</f>
        <v/>
      </c>
    </row>
    <row r="37">
      <c r="B37" s="55" t="inlineStr">
        <is>
          <t xml:space="preserve">      Meta Ads</t>
        </is>
      </c>
      <c r="C37" s="187" t="n">
        <v>800</v>
      </c>
      <c r="D37" s="187" t="n">
        <v>800</v>
      </c>
      <c r="E37" s="187" t="n">
        <v>800</v>
      </c>
      <c r="F37" s="187" t="n">
        <v>800</v>
      </c>
      <c r="G37" s="187" t="n">
        <v>800</v>
      </c>
      <c r="H37" s="187" t="n">
        <v>800</v>
      </c>
      <c r="I37" s="187" t="n">
        <v>500</v>
      </c>
      <c r="J37" s="187" t="n">
        <v>500</v>
      </c>
      <c r="K37" s="187" t="n">
        <v>500</v>
      </c>
      <c r="L37" s="187" t="n">
        <v>500</v>
      </c>
      <c r="M37" s="187" t="n">
        <v>500</v>
      </c>
      <c r="N37" s="187" t="n">
        <v>500</v>
      </c>
      <c r="O37" s="187">
        <f>SUM(C37:N37)</f>
        <v/>
      </c>
    </row>
    <row r="38">
      <c r="B38" s="55" t="inlineStr">
        <is>
          <t xml:space="preserve">      Valla pequeña (desde M3)</t>
        </is>
      </c>
      <c r="C38" s="187" t="n">
        <v>0</v>
      </c>
      <c r="D38" s="187" t="n">
        <v>0</v>
      </c>
      <c r="E38" s="187" t="n">
        <v>350</v>
      </c>
      <c r="F38" s="187" t="n">
        <v>350</v>
      </c>
      <c r="G38" s="187" t="n">
        <v>350</v>
      </c>
      <c r="H38" s="187" t="n">
        <v>350</v>
      </c>
      <c r="I38" s="187" t="n">
        <v>350</v>
      </c>
      <c r="J38" s="187" t="n">
        <v>350</v>
      </c>
      <c r="K38" s="187" t="n">
        <v>350</v>
      </c>
      <c r="L38" s="187" t="n">
        <v>350</v>
      </c>
      <c r="M38" s="187" t="n">
        <v>350</v>
      </c>
      <c r="N38" s="187" t="n">
        <v>350</v>
      </c>
      <c r="O38" s="187">
        <f>SUM(C38:N38)</f>
        <v/>
      </c>
    </row>
    <row r="39" ht="15" customHeight="1" s="44">
      <c r="B39" s="55" t="inlineStr">
        <is>
          <t xml:space="preserve">      Material + transporte + contingencia (incl. buffer VE 20%)</t>
        </is>
      </c>
      <c r="C39" s="187" t="n">
        <v>1322</v>
      </c>
      <c r="D39" s="187" t="n">
        <v>1322</v>
      </c>
      <c r="E39" s="187" t="n">
        <v>1308</v>
      </c>
      <c r="F39" s="187" t="n">
        <v>1308</v>
      </c>
      <c r="G39" s="187" t="n">
        <v>1308</v>
      </c>
      <c r="H39" s="187" t="n">
        <v>1308</v>
      </c>
      <c r="I39" s="187" t="n">
        <v>1241</v>
      </c>
      <c r="J39" s="187" t="n">
        <v>1241</v>
      </c>
      <c r="K39" s="187" t="n">
        <v>1241</v>
      </c>
      <c r="L39" s="187" t="n">
        <v>1241</v>
      </c>
      <c r="M39" s="187" t="n">
        <v>1241</v>
      </c>
      <c r="N39" s="187" t="n">
        <v>1241</v>
      </c>
      <c r="O39" s="187">
        <f>SUM(C39:N39)</f>
        <v/>
      </c>
    </row>
    <row r="40" ht="15" customHeight="1" s="44">
      <c r="B40" s="12" t="inlineStr">
        <is>
          <t>Total Costos</t>
        </is>
      </c>
      <c r="C40" s="189">
        <f>C28+C29+C30+C31+C32+C33+C34+C35+C36+C37+C38+C39</f>
        <v/>
      </c>
      <c r="D40" s="189">
        <f>D28+D29+D30+D31+D32+D33+D34+D35+D36+D37+D38+D39</f>
        <v/>
      </c>
      <c r="E40" s="189">
        <f>E28+E29+E30+E31+E32+E33+E34+E35+E36+E37+E38+E39</f>
        <v/>
      </c>
      <c r="F40" s="189">
        <f>F28+F29+F30+F31+F32+F33+F34+F35+F36+F37+F38+F39</f>
        <v/>
      </c>
      <c r="G40" s="189">
        <f>G28+G29+G30+G31+G32+G33+G34+G35+G36+G37+G38+G39</f>
        <v/>
      </c>
      <c r="H40" s="189">
        <f>H28+H29+H30+H31+H32+H33+H34+H35+H36+H37+H38+H39</f>
        <v/>
      </c>
      <c r="I40" s="189">
        <f>I28+I29+I30+I31+I32+I33+I34+I35+I36+I37+I38+I39</f>
        <v/>
      </c>
      <c r="J40" s="189">
        <f>J28+J29+J30+J31+J32+J33+J34+J35+J36+J37+J38+J39</f>
        <v/>
      </c>
      <c r="K40" s="189">
        <f>K28+K29+K30+K31+K32+K33+K34+K35+K36+K37+K38+K39</f>
        <v/>
      </c>
      <c r="L40" s="189">
        <f>L28+L29+L30+L31+L32+L33+L34+L35+L36+L37+L38+L39</f>
        <v/>
      </c>
      <c r="M40" s="189">
        <f>M28+M29+M30+M31+M32+M33+M34+M35+M36+M37+M38+M39</f>
        <v/>
      </c>
      <c r="N40" s="189">
        <f>N28+N29+N30+N31+N32+N33+N34+N35+N36+N37+N38+N39</f>
        <v/>
      </c>
      <c r="O40" s="189">
        <f>SUM(C40:N40)</f>
        <v/>
      </c>
    </row>
    <row r="41" ht="15" customHeight="1" s="44"/>
    <row r="42" ht="15" customHeight="1" s="44">
      <c r="B42" s="12" t="inlineStr">
        <is>
          <t>FCF</t>
        </is>
      </c>
      <c r="C42" s="189">
        <f>C25-C40</f>
        <v/>
      </c>
      <c r="D42" s="189">
        <f>D25-D40</f>
        <v/>
      </c>
      <c r="E42" s="189">
        <f>E25-E40</f>
        <v/>
      </c>
      <c r="F42" s="189">
        <f>F25-F40</f>
        <v/>
      </c>
      <c r="G42" s="189">
        <f>G25-G40</f>
        <v/>
      </c>
      <c r="H42" s="189">
        <f>H25-H40</f>
        <v/>
      </c>
      <c r="I42" s="189">
        <f>I25-I40</f>
        <v/>
      </c>
      <c r="J42" s="189">
        <f>J25-J40</f>
        <v/>
      </c>
      <c r="K42" s="189">
        <f>K25-K40</f>
        <v/>
      </c>
      <c r="L42" s="189">
        <f>L25-L40</f>
        <v/>
      </c>
      <c r="M42" s="189">
        <f>M25-M40</f>
        <v/>
      </c>
      <c r="N42" s="189">
        <f>N25-N40</f>
        <v/>
      </c>
      <c r="O42" s="189">
        <f>SUM(C42:N42)</f>
        <v/>
      </c>
    </row>
    <row r="43">
      <c r="B43" s="55" t="inlineStr">
        <is>
          <t>FCF acumulado</t>
        </is>
      </c>
      <c r="C43" s="187">
        <f>C42</f>
        <v/>
      </c>
      <c r="D43" s="187">
        <f>C43+D42</f>
        <v/>
      </c>
      <c r="E43" s="187">
        <f>D43+E42</f>
        <v/>
      </c>
      <c r="F43" s="187">
        <f>E43+F42</f>
        <v/>
      </c>
      <c r="G43" s="187">
        <f>F43+G42</f>
        <v/>
      </c>
      <c r="H43" s="187">
        <f>G43+H42</f>
        <v/>
      </c>
      <c r="I43" s="187">
        <f>H43+I42</f>
        <v/>
      </c>
      <c r="J43" s="187">
        <f>I43+J42</f>
        <v/>
      </c>
      <c r="K43" s="187">
        <f>J43+K42</f>
        <v/>
      </c>
      <c r="L43" s="187">
        <f>K43+L42</f>
        <v/>
      </c>
      <c r="M43" s="187">
        <f>L43+M42</f>
        <v/>
      </c>
      <c r="N43" s="187">
        <f>M43+N42</f>
        <v/>
      </c>
      <c r="O43" s="187">
        <f>N43</f>
        <v/>
      </c>
    </row>
    <row r="44">
      <c r="B44" s="55" t="inlineStr">
        <is>
          <t>CCF (inversor SAFE 18,66%)</t>
        </is>
      </c>
      <c r="C44" s="187">
        <f>C42*$C$11</f>
        <v/>
      </c>
      <c r="D44" s="187">
        <f>D42*$C$11</f>
        <v/>
      </c>
      <c r="E44" s="187">
        <f>E42*$C$11</f>
        <v/>
      </c>
      <c r="F44" s="187">
        <f>F42*$C$11</f>
        <v/>
      </c>
      <c r="G44" s="187">
        <f>G42*$C$11</f>
        <v/>
      </c>
      <c r="H44" s="187">
        <f>H42*$C$11</f>
        <v/>
      </c>
      <c r="I44" s="187">
        <f>I42*$C$11</f>
        <v/>
      </c>
      <c r="J44" s="187">
        <f>J42*$C$11</f>
        <v/>
      </c>
      <c r="K44" s="187">
        <f>K42*$C$11</f>
        <v/>
      </c>
      <c r="L44" s="187">
        <f>L42*$C$11</f>
        <v/>
      </c>
      <c r="M44" s="187">
        <f>M42*$C$11</f>
        <v/>
      </c>
      <c r="N44" s="187">
        <f>N42*$C$11</f>
        <v/>
      </c>
    </row>
    <row r="45">
      <c r="B45" s="55" t="inlineStr">
        <is>
          <t>ECF (founders 81,34%)</t>
        </is>
      </c>
      <c r="C45" s="187">
        <f>C42-C44</f>
        <v/>
      </c>
      <c r="D45" s="187">
        <f>D42-D44</f>
        <v/>
      </c>
      <c r="E45" s="187">
        <f>E42-E44</f>
        <v/>
      </c>
      <c r="F45" s="187">
        <f>F42-F44</f>
        <v/>
      </c>
      <c r="G45" s="187">
        <f>G42-G44</f>
        <v/>
      </c>
      <c r="H45" s="187">
        <f>H42-H44</f>
        <v/>
      </c>
      <c r="I45" s="187">
        <f>I42-I44</f>
        <v/>
      </c>
      <c r="J45" s="187">
        <f>J42-J44</f>
        <v/>
      </c>
      <c r="K45" s="187">
        <f>K42-K44</f>
        <v/>
      </c>
      <c r="L45" s="187">
        <f>L42-L44</f>
        <v/>
      </c>
      <c r="M45" s="187">
        <f>M42-M44</f>
        <v/>
      </c>
      <c r="N45" s="187">
        <f>N42-N44</f>
        <v/>
      </c>
    </row>
    <row r="47">
      <c r="B47" s="52" t="inlineStr">
        <is>
          <t>Cash deployment (post Day-D)</t>
        </is>
      </c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</row>
    <row r="48">
      <c r="B48" s="55" t="inlineStr">
        <is>
          <t>Cash inicial mes</t>
        </is>
      </c>
      <c r="C48" s="187">
        <f>'Detallado de la inversión.'!G89</f>
        <v/>
      </c>
      <c r="D48" s="187">
        <f>C49</f>
        <v/>
      </c>
      <c r="E48" s="187">
        <f>D49</f>
        <v/>
      </c>
      <c r="F48" s="187">
        <f>E49</f>
        <v/>
      </c>
      <c r="G48" s="187">
        <f>F49</f>
        <v/>
      </c>
      <c r="H48" s="187">
        <f>G49</f>
        <v/>
      </c>
      <c r="I48" s="187">
        <f>H49</f>
        <v/>
      </c>
      <c r="J48" s="187">
        <f>I49</f>
        <v/>
      </c>
      <c r="K48" s="187">
        <f>J49</f>
        <v/>
      </c>
      <c r="L48" s="187">
        <f>K49</f>
        <v/>
      </c>
      <c r="M48" s="187">
        <f>L49</f>
        <v/>
      </c>
      <c r="N48" s="187">
        <f>M49</f>
        <v/>
      </c>
    </row>
    <row r="49">
      <c r="B49" s="55" t="inlineStr">
        <is>
          <t>Cash final mes</t>
        </is>
      </c>
      <c r="C49" s="187">
        <f>C48+C25-C40</f>
        <v/>
      </c>
      <c r="D49" s="187">
        <f>D48+D25-D40</f>
        <v/>
      </c>
      <c r="E49" s="187">
        <f>E48+E25-E40</f>
        <v/>
      </c>
      <c r="F49" s="187">
        <f>F48+F25-F40</f>
        <v/>
      </c>
      <c r="G49" s="187">
        <f>G48+G25-G40</f>
        <v/>
      </c>
      <c r="H49" s="187">
        <f>H48+H25-H40</f>
        <v/>
      </c>
      <c r="I49" s="187">
        <f>I48+I25-I40</f>
        <v/>
      </c>
      <c r="J49" s="187">
        <f>J48+J25-J40</f>
        <v/>
      </c>
      <c r="K49" s="187">
        <f>K48+K25-K40</f>
        <v/>
      </c>
      <c r="L49" s="187">
        <f>L48+L25-L40</f>
        <v/>
      </c>
      <c r="M49" s="187">
        <f>M48+M25-M40</f>
        <v/>
      </c>
      <c r="N49" s="187">
        <f>N48+N25-N40</f>
        <v/>
      </c>
    </row>
  </sheetData>
  <mergeCells count="1">
    <mergeCell ref="C16:N16"/>
  </mergeCells>
  <pageMargins left="0.75" right="0.75" top="1" bottom="1" header="0.511811023622047" footer="0.511811023622047"/>
  <pageSetup orientation="portrait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O49"/>
  <sheetViews>
    <sheetView zoomScale="95" zoomScaleNormal="95" workbookViewId="0">
      <pane xSplit="2" ySplit="15" topLeftCell="D43" activePane="bottomRight" state="frozen"/>
      <selection pane="topRight" activeCell="A1" sqref="A1"/>
      <selection pane="bottomLeft" activeCell="A1" sqref="A1"/>
      <selection pane="bottomRight" activeCell="F5" sqref="F5"/>
    </sheetView>
  </sheetViews>
  <sheetFormatPr baseColWidth="10" defaultColWidth="8.6640625" defaultRowHeight="14.4"/>
  <cols>
    <col width="1.21875" customWidth="1" style="44" min="1" max="1"/>
    <col width="58.88671875" customWidth="1" style="44" min="2" max="2"/>
    <col width="25.5546875" customWidth="1" style="44" min="3" max="3"/>
    <col width="15.5546875" customWidth="1" style="44" min="4" max="4"/>
    <col width="11" customWidth="1" style="44" min="5" max="13"/>
    <col width="13.33203125" customWidth="1" style="44" min="14" max="14"/>
    <col width="16.88671875" customWidth="1" style="44" min="15" max="15"/>
  </cols>
  <sheetData>
    <row r="2">
      <c r="B2" s="16" t="inlineStr">
        <is>
          <t>ITEMS</t>
        </is>
      </c>
      <c r="C2" s="16" t="inlineStr">
        <is>
          <t>DATOS</t>
        </is>
      </c>
    </row>
    <row r="3">
      <c r="B3" s="17" t="inlineStr">
        <is>
          <t>ARPF placeholder USD/mes</t>
        </is>
      </c>
      <c r="C3" s="206" t="n">
        <v>50</v>
      </c>
    </row>
    <row r="4">
      <c r="B4" s="19" t="inlineStr">
        <is>
          <t>Cuota Basic USD/mes</t>
        </is>
      </c>
      <c r="C4" s="207" t="n">
        <v>25</v>
      </c>
    </row>
    <row r="5">
      <c r="B5" s="17" t="inlineStr">
        <is>
          <t>Cuota Pro USD/mes</t>
        </is>
      </c>
      <c r="C5" s="206" t="n">
        <v>40</v>
      </c>
    </row>
    <row r="6">
      <c r="B6" s="19" t="inlineStr">
        <is>
          <t>Cuota Enterprise USD/mes</t>
        </is>
      </c>
      <c r="C6" s="207" t="n">
        <v>55</v>
      </c>
    </row>
    <row r="7">
      <c r="B7" s="17" t="inlineStr">
        <is>
          <t>Mix Basic (ponderador)</t>
        </is>
      </c>
      <c r="C7" s="206" t="n">
        <v>0.6</v>
      </c>
    </row>
    <row r="8">
      <c r="B8" s="19" t="inlineStr">
        <is>
          <t>Mix Pro (ponderador)</t>
        </is>
      </c>
      <c r="C8" s="207" t="n">
        <v>0.3</v>
      </c>
    </row>
    <row r="9">
      <c r="B9" s="17" t="inlineStr">
        <is>
          <t>Mix Enterprise (ponderador)</t>
        </is>
      </c>
      <c r="C9" s="206" t="n">
        <v>0.1</v>
      </c>
    </row>
    <row r="10">
      <c r="B10" s="19" t="inlineStr">
        <is>
          <t>Churn mensual target</t>
        </is>
      </c>
      <c r="C10" s="210" t="n">
        <v>0.05</v>
      </c>
      <c r="E10" t="inlineStr">
        <is>
          <t>Ticket Promedio</t>
        </is>
      </c>
      <c r="F10" t="n">
        <v>500</v>
      </c>
    </row>
    <row r="11">
      <c r="B11" s="17" t="inlineStr">
        <is>
          <t>Participación Inversor SAFE</t>
        </is>
      </c>
      <c r="C11" s="211" t="n">
        <v>0.1866</v>
      </c>
      <c r="E11" t="inlineStr">
        <is>
          <t>% GMV</t>
        </is>
      </c>
      <c r="F11" s="25" t="n">
        <v>0.1</v>
      </c>
    </row>
    <row r="12">
      <c r="B12" s="19" t="inlineStr">
        <is>
          <t>Participación Founders</t>
        </is>
      </c>
      <c r="C12" s="210">
        <f>1-C11</f>
        <v/>
      </c>
    </row>
    <row r="13">
      <c r="B13" s="17" t="inlineStr">
        <is>
          <t>Tasa descuento VAN</t>
        </is>
      </c>
      <c r="C13" s="211" t="n">
        <v>0.25</v>
      </c>
    </row>
    <row r="14">
      <c r="B14" s="19" t="inlineStr">
        <is>
          <t>Capital SAFE Lean (USD)</t>
        </is>
      </c>
      <c r="C14" s="207" t="n">
        <v>111988</v>
      </c>
    </row>
    <row r="15">
      <c r="B15" s="17" t="inlineStr">
        <is>
          <t>Nota escenario</t>
        </is>
      </c>
      <c r="C15" s="17" t="inlineStr">
        <is>
          <t>Lean ancla pack</t>
        </is>
      </c>
    </row>
    <row r="16">
      <c r="B16" s="23" t="inlineStr">
        <is>
          <t>AÑO 1</t>
        </is>
      </c>
      <c r="C16" s="43" t="inlineStr">
        <is>
          <t>AÑO 1</t>
        </is>
      </c>
    </row>
    <row r="17">
      <c r="C17" s="53" t="inlineStr">
        <is>
          <t>Mes 1</t>
        </is>
      </c>
      <c r="D17" s="53" t="inlineStr">
        <is>
          <t>Mes 2</t>
        </is>
      </c>
      <c r="E17" s="53" t="inlineStr">
        <is>
          <t>Mes 3</t>
        </is>
      </c>
      <c r="F17" s="53" t="inlineStr">
        <is>
          <t>Mes 4</t>
        </is>
      </c>
      <c r="G17" s="53" t="inlineStr">
        <is>
          <t>Mes 5</t>
        </is>
      </c>
      <c r="H17" s="53" t="inlineStr">
        <is>
          <t>Mes 6</t>
        </is>
      </c>
      <c r="I17" s="53" t="inlineStr">
        <is>
          <t>Mes 7</t>
        </is>
      </c>
      <c r="J17" s="53" t="inlineStr">
        <is>
          <t>Mes 8</t>
        </is>
      </c>
      <c r="K17" s="53" t="inlineStr">
        <is>
          <t>Mes 9</t>
        </is>
      </c>
      <c r="L17" s="53" t="inlineStr">
        <is>
          <t>Mes 10</t>
        </is>
      </c>
      <c r="M17" s="53" t="inlineStr">
        <is>
          <t>Mes 11</t>
        </is>
      </c>
      <c r="N17" s="53" t="inlineStr">
        <is>
          <t>Mes 12</t>
        </is>
      </c>
      <c r="O17" s="53" t="inlineStr">
        <is>
          <t>TOTAL</t>
        </is>
      </c>
    </row>
    <row r="18">
      <c r="B18" s="55" t="inlineStr">
        <is>
          <t>Farmacias firmadas (altas mes)</t>
        </is>
      </c>
      <c r="C18" s="187" t="n">
        <v>13</v>
      </c>
      <c r="D18" s="187" t="n">
        <v>13</v>
      </c>
      <c r="E18" s="187" t="n">
        <v>14</v>
      </c>
      <c r="F18" s="187" t="n">
        <v>15</v>
      </c>
      <c r="G18" s="187" t="n">
        <v>15</v>
      </c>
      <c r="H18" s="187" t="n">
        <v>16</v>
      </c>
      <c r="I18" s="187" t="n">
        <v>16</v>
      </c>
      <c r="J18" s="187" t="n">
        <v>16</v>
      </c>
      <c r="K18" s="187" t="n">
        <v>17</v>
      </c>
      <c r="L18" s="187" t="n">
        <v>17</v>
      </c>
      <c r="M18" s="187" t="n">
        <v>17</v>
      </c>
      <c r="N18" s="187" t="n">
        <v>16</v>
      </c>
      <c r="O18" s="187">
        <f>SUM(C18:N18)</f>
        <v/>
      </c>
    </row>
    <row r="19">
      <c r="B19" s="55" t="inlineStr">
        <is>
          <t>Farmacias activas (stock cierre mes)</t>
        </is>
      </c>
      <c r="C19" s="187" t="n">
        <v>40</v>
      </c>
      <c r="D19" s="187" t="n">
        <v>51</v>
      </c>
      <c r="E19" s="187" t="n">
        <v>62</v>
      </c>
      <c r="F19" s="187" t="n">
        <v>74</v>
      </c>
      <c r="G19" s="187" t="n">
        <v>85</v>
      </c>
      <c r="H19" s="187" t="n">
        <v>97</v>
      </c>
      <c r="I19" s="187" t="n">
        <v>108</v>
      </c>
      <c r="J19" s="187" t="n">
        <v>119</v>
      </c>
      <c r="K19" s="187" t="n">
        <v>130</v>
      </c>
      <c r="L19" s="187" t="n">
        <v>141</v>
      </c>
      <c r="M19" s="187" t="n">
        <v>151</v>
      </c>
      <c r="N19" s="187" t="n">
        <v>159</v>
      </c>
      <c r="O19" s="187">
        <f>N19</f>
        <v/>
      </c>
    </row>
    <row r="21">
      <c r="B21" s="52" t="inlineStr">
        <is>
          <t>Ingresos ($)</t>
        </is>
      </c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</row>
    <row r="22">
      <c r="B22" s="55" t="inlineStr">
        <is>
          <t xml:space="preserve">      Ingresos cuota fija B2B</t>
        </is>
      </c>
      <c r="C22" s="187">
        <f>C19*($C$7*$C$4+$C$8*$C$5+$C$9*$C$6)</f>
        <v/>
      </c>
      <c r="D22" s="187">
        <f>D19*($C$7*$C$4+$C$8*$C$5+$C$9*$C$6)</f>
        <v/>
      </c>
      <c r="E22" s="187">
        <f>E19*($C$7*$C$4+$C$8*$C$5+$C$9*$C$6)</f>
        <v/>
      </c>
      <c r="F22" s="187">
        <f>F19*($C$7*$C$4+$C$8*$C$5+$C$9*$C$6)</f>
        <v/>
      </c>
      <c r="G22" s="187">
        <f>G19*($C$7*$C$4+$C$8*$C$5+$C$9*$C$6)</f>
        <v/>
      </c>
      <c r="H22" s="187">
        <f>H19*($C$7*$C$4+$C$8*$C$5+$C$9*$C$6)</f>
        <v/>
      </c>
      <c r="I22" s="187">
        <f>I19*($C$7*$C$4+$C$8*$C$5+$C$9*$C$6)</f>
        <v/>
      </c>
      <c r="J22" s="187">
        <f>J19*($C$7*$C$4+$C$8*$C$5+$C$9*$C$6)</f>
        <v/>
      </c>
      <c r="K22" s="187">
        <f>K19*($C$7*$C$4+$C$8*$C$5+$C$9*$C$6)</f>
        <v/>
      </c>
      <c r="L22" s="187">
        <f>L19*($C$7*$C$4+$C$8*$C$5+$C$9*$C$6)</f>
        <v/>
      </c>
      <c r="M22" s="187">
        <f>M19*($C$7*$C$4+$C$8*$C$5+$C$9*$C$6)</f>
        <v/>
      </c>
      <c r="N22" s="187">
        <f>N19*($C$7*$C$4+$C$8*$C$5+$C$9*$C$6)</f>
        <v/>
      </c>
      <c r="O22" s="187">
        <f>SUM(C22:N22)</f>
        <v/>
      </c>
    </row>
    <row r="23">
      <c r="B23" s="55" t="inlineStr">
        <is>
          <t xml:space="preserve">      Ingresos comisión % GMV [EDITAR]</t>
        </is>
      </c>
      <c r="C23" s="187">
        <f>C19*($F$10*$F$11)</f>
        <v/>
      </c>
      <c r="D23" s="187">
        <f>D19*($F$10*$F$11)</f>
        <v/>
      </c>
      <c r="E23" s="187">
        <f>E19*($F$10*$F$11)</f>
        <v/>
      </c>
      <c r="F23" s="187">
        <f>F19*($F$10*$F$11)</f>
        <v/>
      </c>
      <c r="G23" s="187">
        <f>G19*($F$10*$F$11)</f>
        <v/>
      </c>
      <c r="H23" s="187">
        <f>H19*($F$10*$F$11)</f>
        <v/>
      </c>
      <c r="I23" s="187">
        <f>I19*($F$10*$F$11)</f>
        <v/>
      </c>
      <c r="J23" s="187">
        <f>J19*($F$10*$F$11)</f>
        <v/>
      </c>
      <c r="K23" s="187">
        <f>K19*($F$10*$F$11)</f>
        <v/>
      </c>
      <c r="L23" s="187">
        <f>L19*($F$10*$F$11)</f>
        <v/>
      </c>
      <c r="M23" s="187">
        <f>M19*($F$10*$F$11)</f>
        <v/>
      </c>
      <c r="N23" s="187">
        <f>N19*($F$10*$F$11)</f>
        <v/>
      </c>
      <c r="O23" s="187">
        <f>SUM(C23:N23)</f>
        <v/>
      </c>
    </row>
    <row r="24" ht="15" customHeight="1" s="44">
      <c r="B24" s="55" t="inlineStr">
        <is>
          <t xml:space="preserve">      Ajuste billing pack PROYECCION §1.1</t>
        </is>
      </c>
      <c r="C24" s="187">
        <f>1500-(C22+C23)</f>
        <v/>
      </c>
      <c r="D24" s="187">
        <f>2168-(D22+D23)</f>
        <v/>
      </c>
      <c r="E24" s="187">
        <f>3100-(E22+E23)</f>
        <v/>
      </c>
      <c r="F24" s="187">
        <f>3700-(F22+F23)</f>
        <v/>
      </c>
      <c r="G24" s="187">
        <f>4250-(G22+G23)</f>
        <v/>
      </c>
      <c r="H24" s="187">
        <f>4850-(H22+H23)</f>
        <v/>
      </c>
      <c r="I24" s="187">
        <f>5400-(I22+I23)</f>
        <v/>
      </c>
      <c r="J24" s="187">
        <f>5950-(J22+J23)</f>
        <v/>
      </c>
      <c r="K24" s="187">
        <f>6500-(K22+K23)</f>
        <v/>
      </c>
      <c r="L24" s="187">
        <f>7050-(L22+L23)</f>
        <v/>
      </c>
      <c r="M24" s="187">
        <f>7550-(M22+M23)</f>
        <v/>
      </c>
      <c r="N24" s="187">
        <f>7950-(N22+N23)</f>
        <v/>
      </c>
      <c r="O24" s="187">
        <f>SUM(C24:N24)</f>
        <v/>
      </c>
    </row>
    <row r="25" ht="15" customHeight="1" s="44">
      <c r="B25" s="12" t="inlineStr">
        <is>
          <t>Total Ingresos</t>
        </is>
      </c>
      <c r="C25" s="189">
        <f>C22+C23+C24</f>
        <v/>
      </c>
      <c r="D25" s="189">
        <f>D22+D23+D24</f>
        <v/>
      </c>
      <c r="E25" s="189">
        <f>E22+E23+E24</f>
        <v/>
      </c>
      <c r="F25" s="189">
        <f>F22+F23+F24</f>
        <v/>
      </c>
      <c r="G25" s="189">
        <f>G22+G23+G24</f>
        <v/>
      </c>
      <c r="H25" s="189">
        <f>H22+H23+H24</f>
        <v/>
      </c>
      <c r="I25" s="189">
        <f>I22+I23+I24</f>
        <v/>
      </c>
      <c r="J25" s="189">
        <f>J22+J23+J24</f>
        <v/>
      </c>
      <c r="K25" s="189">
        <f>K22+K23+K24</f>
        <v/>
      </c>
      <c r="L25" s="189">
        <f>L22+L23+L24</f>
        <v/>
      </c>
      <c r="M25" s="189">
        <f>M22+M23+M24</f>
        <v/>
      </c>
      <c r="N25" s="189">
        <f>N22+N23+N24</f>
        <v/>
      </c>
      <c r="O25" s="189">
        <f>SUM(C25:N25)</f>
        <v/>
      </c>
    </row>
    <row r="27">
      <c r="B27" s="52" t="inlineStr">
        <is>
          <t>Costos ($)</t>
        </is>
      </c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</row>
    <row r="28">
      <c r="B28" s="55" t="inlineStr">
        <is>
          <t xml:space="preserve">      Dev junior (Flutter/Laravel)</t>
        </is>
      </c>
      <c r="C28" s="187">
        <f>'ESTA SI VALE'!$I$60</f>
        <v/>
      </c>
      <c r="D28" s="187">
        <f>'ESTA SI VALE'!$I$60</f>
        <v/>
      </c>
      <c r="E28" s="187">
        <f>'ESTA SI VALE'!$I$60</f>
        <v/>
      </c>
      <c r="F28" s="187">
        <f>'ESTA SI VALE'!$I$60</f>
        <v/>
      </c>
      <c r="G28" s="187">
        <f>'ESTA SI VALE'!$I$60</f>
        <v/>
      </c>
      <c r="H28" s="187">
        <f>'ESTA SI VALE'!$I$60</f>
        <v/>
      </c>
      <c r="I28" s="187">
        <f>'ESTA SI VALE'!$I$60</f>
        <v/>
      </c>
      <c r="J28" s="187">
        <f>'ESTA SI VALE'!$I$60</f>
        <v/>
      </c>
      <c r="K28" s="187">
        <f>'ESTA SI VALE'!$I$60</f>
        <v/>
      </c>
      <c r="L28" s="187">
        <f>'ESTA SI VALE'!$I$60</f>
        <v/>
      </c>
      <c r="M28" s="187">
        <f>'ESTA SI VALE'!$I$60</f>
        <v/>
      </c>
      <c r="N28" s="187">
        <f>'ESTA SI VALE'!$I$60</f>
        <v/>
      </c>
    </row>
    <row r="29">
      <c r="B29" s="55" t="inlineStr">
        <is>
          <t xml:space="preserve">      4× Sales B2B</t>
        </is>
      </c>
      <c r="C29" s="187">
        <f>'ESTA SI VALE'!$I$61</f>
        <v/>
      </c>
      <c r="D29" s="187">
        <f>'ESTA SI VALE'!$I$61</f>
        <v/>
      </c>
      <c r="E29" s="187">
        <f>'ESTA SI VALE'!$I$61</f>
        <v/>
      </c>
      <c r="F29" s="187">
        <f>'ESTA SI VALE'!$I$61</f>
        <v/>
      </c>
      <c r="G29" s="187">
        <f>'ESTA SI VALE'!$I$61</f>
        <v/>
      </c>
      <c r="H29" s="187">
        <f>'ESTA SI VALE'!$I$61</f>
        <v/>
      </c>
      <c r="I29" s="187">
        <f>'ESTA SI VALE'!$I$61</f>
        <v/>
      </c>
      <c r="J29" s="187">
        <f>'ESTA SI VALE'!$I$61</f>
        <v/>
      </c>
      <c r="K29" s="187">
        <f>'ESTA SI VALE'!$I$61</f>
        <v/>
      </c>
      <c r="L29" s="187">
        <f>'ESTA SI VALE'!$I$61</f>
        <v/>
      </c>
      <c r="M29" s="187">
        <f>'ESTA SI VALE'!$I$61</f>
        <v/>
      </c>
      <c r="N29" s="187">
        <f>'ESTA SI VALE'!$I$61</f>
        <v/>
      </c>
    </row>
    <row r="30">
      <c r="B30" s="55" t="inlineStr">
        <is>
          <t xml:space="preserve">      CS + Community Manager</t>
        </is>
      </c>
      <c r="C30" s="187">
        <f>'ESTA SI VALE'!$I$62</f>
        <v/>
      </c>
      <c r="D30" s="187">
        <f>'ESTA SI VALE'!$I$62</f>
        <v/>
      </c>
      <c r="E30" s="187">
        <f>'ESTA SI VALE'!$I$62</f>
        <v/>
      </c>
      <c r="F30" s="187">
        <f>'ESTA SI VALE'!$I$62</f>
        <v/>
      </c>
      <c r="G30" s="187">
        <f>'ESTA SI VALE'!$I$62</f>
        <v/>
      </c>
      <c r="H30" s="187">
        <f>'ESTA SI VALE'!$I$62</f>
        <v/>
      </c>
      <c r="I30" s="187">
        <f>'ESTA SI VALE'!$I$62</f>
        <v/>
      </c>
      <c r="J30" s="187">
        <f>'ESTA SI VALE'!$I$62</f>
        <v/>
      </c>
      <c r="K30" s="187">
        <f>'ESTA SI VALE'!$I$62</f>
        <v/>
      </c>
      <c r="L30" s="187">
        <f>'ESTA SI VALE'!$I$62</f>
        <v/>
      </c>
      <c r="M30" s="187">
        <f>'ESTA SI VALE'!$I$62</f>
        <v/>
      </c>
      <c r="N30" s="187">
        <f>'ESTA SI VALE'!$I$62</f>
        <v/>
      </c>
    </row>
    <row r="31">
      <c r="B31" s="55" t="inlineStr">
        <is>
          <t xml:space="preserve">      Founder + Co-CEO</t>
        </is>
      </c>
      <c r="C31" s="187">
        <f>'ESTA SI VALE'!$I$63</f>
        <v/>
      </c>
      <c r="D31" s="187">
        <f>'ESTA SI VALE'!$I$63</f>
        <v/>
      </c>
      <c r="E31" s="187">
        <f>'ESTA SI VALE'!$I$63</f>
        <v/>
      </c>
      <c r="F31" s="187">
        <f>'ESTA SI VALE'!$I$63</f>
        <v/>
      </c>
      <c r="G31" s="187">
        <f>'ESTA SI VALE'!$I$63</f>
        <v/>
      </c>
      <c r="H31" s="187">
        <f>'ESTA SI VALE'!$I$63</f>
        <v/>
      </c>
      <c r="I31" s="187">
        <f>'ESTA SI VALE'!$I$63</f>
        <v/>
      </c>
      <c r="J31" s="187">
        <f>'ESTA SI VALE'!$I$63</f>
        <v/>
      </c>
      <c r="K31" s="187">
        <f>'ESTA SI VALE'!$I$63</f>
        <v/>
      </c>
      <c r="L31" s="187">
        <f>'ESTA SI VALE'!$I$63</f>
        <v/>
      </c>
      <c r="M31" s="187">
        <f>'ESTA SI VALE'!$I$63</f>
        <v/>
      </c>
      <c r="N31" s="187">
        <f>'ESTA SI VALE'!$I$63</f>
        <v/>
      </c>
    </row>
    <row r="32">
      <c r="B32" s="55" t="inlineStr">
        <is>
          <t xml:space="preserve">      Herramientas IA</t>
        </is>
      </c>
      <c r="C32" s="187">
        <f>'ESTA SI VALE'!$I$64</f>
        <v/>
      </c>
      <c r="D32" s="187">
        <f>'ESTA SI VALE'!$I$64</f>
        <v/>
      </c>
      <c r="E32" s="187">
        <f>'ESTA SI VALE'!$I$64</f>
        <v/>
      </c>
      <c r="F32" s="187">
        <f>'ESTA SI VALE'!$I$64</f>
        <v/>
      </c>
      <c r="G32" s="187">
        <f>'ESTA SI VALE'!$I$64</f>
        <v/>
      </c>
      <c r="H32" s="187">
        <f>'ESTA SI VALE'!$I$64</f>
        <v/>
      </c>
      <c r="I32" s="187">
        <f>'ESTA SI VALE'!$I$64</f>
        <v/>
      </c>
      <c r="J32" s="187">
        <f>'ESTA SI VALE'!$I$64</f>
        <v/>
      </c>
      <c r="K32" s="187">
        <f>'ESTA SI VALE'!$I$64</f>
        <v/>
      </c>
      <c r="L32" s="187">
        <f>'ESTA SI VALE'!$I$64</f>
        <v/>
      </c>
      <c r="M32" s="187">
        <f>'ESTA SI VALE'!$I$64</f>
        <v/>
      </c>
      <c r="N32" s="187">
        <f>'ESTA SI VALE'!$I$64</f>
        <v/>
      </c>
    </row>
    <row r="33">
      <c r="B33" s="55" t="inlineStr">
        <is>
          <t xml:space="preserve">      Contador + Abogado</t>
        </is>
      </c>
      <c r="C33" s="187">
        <f>'ESTA SI VALE'!$I$65</f>
        <v/>
      </c>
      <c r="D33" s="187">
        <f>'ESTA SI VALE'!$I$65</f>
        <v/>
      </c>
      <c r="E33" s="187">
        <f>'ESTA SI VALE'!$I$65</f>
        <v/>
      </c>
      <c r="F33" s="187">
        <f>'ESTA SI VALE'!$I$65</f>
        <v/>
      </c>
      <c r="G33" s="187">
        <f>'ESTA SI VALE'!$I$65</f>
        <v/>
      </c>
      <c r="H33" s="187">
        <f>'ESTA SI VALE'!$I$65</f>
        <v/>
      </c>
      <c r="I33" s="187">
        <f>'ESTA SI VALE'!$I$65</f>
        <v/>
      </c>
      <c r="J33" s="187">
        <f>'ESTA SI VALE'!$I$65</f>
        <v/>
      </c>
      <c r="K33" s="187">
        <f>'ESTA SI VALE'!$I$65</f>
        <v/>
      </c>
      <c r="L33" s="187">
        <f>'ESTA SI VALE'!$I$65</f>
        <v/>
      </c>
      <c r="M33" s="187">
        <f>'ESTA SI VALE'!$I$65</f>
        <v/>
      </c>
      <c r="N33" s="187">
        <f>'ESTA SI VALE'!$I$65</f>
        <v/>
      </c>
    </row>
    <row r="34">
      <c r="B34" s="55" t="inlineStr">
        <is>
          <t xml:space="preserve">      HQ casa (arriendo + servicios)</t>
        </is>
      </c>
      <c r="C34" s="187">
        <f>'ESTA SI VALE'!$I$66</f>
        <v/>
      </c>
      <c r="D34" s="187">
        <f>'ESTA SI VALE'!$I$66</f>
        <v/>
      </c>
      <c r="E34" s="187">
        <f>'ESTA SI VALE'!$I$66</f>
        <v/>
      </c>
      <c r="F34" s="187">
        <f>'ESTA SI VALE'!$I$66</f>
        <v/>
      </c>
      <c r="G34" s="187">
        <f>'ESTA SI VALE'!$I$66</f>
        <v/>
      </c>
      <c r="H34" s="187">
        <f>'ESTA SI VALE'!$I$66</f>
        <v/>
      </c>
      <c r="I34" s="187">
        <f>'ESTA SI VALE'!$I$66</f>
        <v/>
      </c>
      <c r="J34" s="187">
        <f>'ESTA SI VALE'!$I$66</f>
        <v/>
      </c>
      <c r="K34" s="187">
        <f>'ESTA SI VALE'!$I$66</f>
        <v/>
      </c>
      <c r="L34" s="187">
        <f>'ESTA SI VALE'!$I$66</f>
        <v/>
      </c>
      <c r="M34" s="187">
        <f>'ESTA SI VALE'!$I$66</f>
        <v/>
      </c>
      <c r="N34" s="187">
        <f>'ESTA SI VALE'!$I$66</f>
        <v/>
      </c>
    </row>
    <row r="35">
      <c r="B35" s="55" t="inlineStr">
        <is>
          <t xml:space="preserve">      Servicios oficina (electricidad, agua, internet)</t>
        </is>
      </c>
      <c r="C35" s="187">
        <f>'ESTA SI VALE'!$I$67</f>
        <v/>
      </c>
      <c r="D35" s="187">
        <f>'ESTA SI VALE'!$I$67</f>
        <v/>
      </c>
      <c r="E35" s="187">
        <f>'ESTA SI VALE'!$I$67</f>
        <v/>
      </c>
      <c r="F35" s="187">
        <f>'ESTA SI VALE'!$I$67</f>
        <v/>
      </c>
      <c r="G35" s="187">
        <f>'ESTA SI VALE'!$I$67</f>
        <v/>
      </c>
      <c r="H35" s="187">
        <f>'ESTA SI VALE'!$I$67</f>
        <v/>
      </c>
      <c r="I35" s="187">
        <f>'ESTA SI VALE'!$I$67</f>
        <v/>
      </c>
      <c r="J35" s="187">
        <f>'ESTA SI VALE'!$I$67</f>
        <v/>
      </c>
      <c r="K35" s="187">
        <f>'ESTA SI VALE'!$I$67</f>
        <v/>
      </c>
      <c r="L35" s="187">
        <f>'ESTA SI VALE'!$I$67</f>
        <v/>
      </c>
      <c r="M35" s="187">
        <f>'ESTA SI VALE'!$I$67</f>
        <v/>
      </c>
      <c r="N35" s="187">
        <f>'ESTA SI VALE'!$I$67</f>
        <v/>
      </c>
    </row>
    <row r="36">
      <c r="B36" s="55" t="inlineStr">
        <is>
          <t xml:space="preserve">      Hosting + SaaS + Firebase OTP</t>
        </is>
      </c>
      <c r="C36" s="187">
        <f>'ESTA SI VALE'!$I$68</f>
        <v/>
      </c>
      <c r="D36" s="187">
        <f>'ESTA SI VALE'!$I$68</f>
        <v/>
      </c>
      <c r="E36" s="187">
        <f>'ESTA SI VALE'!$I$68</f>
        <v/>
      </c>
      <c r="F36" s="187">
        <f>'ESTA SI VALE'!$I$68</f>
        <v/>
      </c>
      <c r="G36" s="187">
        <f>'ESTA SI VALE'!$I$68</f>
        <v/>
      </c>
      <c r="H36" s="187">
        <f>'ESTA SI VALE'!$I$68</f>
        <v/>
      </c>
      <c r="I36" s="187">
        <f>'ESTA SI VALE'!$I$68</f>
        <v/>
      </c>
      <c r="J36" s="187">
        <f>'ESTA SI VALE'!$I$68</f>
        <v/>
      </c>
      <c r="K36" s="187">
        <f>'ESTA SI VALE'!$I$68</f>
        <v/>
      </c>
      <c r="L36" s="187">
        <f>'ESTA SI VALE'!$I$68</f>
        <v/>
      </c>
      <c r="M36" s="187">
        <f>'ESTA SI VALE'!$I$68</f>
        <v/>
      </c>
      <c r="N36" s="187">
        <f>'ESTA SI VALE'!$I$68</f>
        <v/>
      </c>
    </row>
    <row r="37">
      <c r="B37" s="55" t="inlineStr">
        <is>
          <t xml:space="preserve">      Meta Ads</t>
        </is>
      </c>
      <c r="C37" s="187" t="n">
        <v>800</v>
      </c>
      <c r="D37" s="187" t="n">
        <v>800</v>
      </c>
      <c r="E37" s="187" t="n">
        <v>800</v>
      </c>
      <c r="F37" s="187" t="n">
        <v>800</v>
      </c>
      <c r="G37" s="187" t="n">
        <v>800</v>
      </c>
      <c r="H37" s="187" t="n">
        <v>800</v>
      </c>
      <c r="I37" s="187" t="n">
        <v>500</v>
      </c>
      <c r="J37" s="187" t="n">
        <v>500</v>
      </c>
      <c r="K37" s="187" t="n">
        <v>500</v>
      </c>
      <c r="L37" s="187" t="n">
        <v>500</v>
      </c>
      <c r="M37" s="187" t="n">
        <v>500</v>
      </c>
      <c r="N37" s="187" t="n">
        <v>500</v>
      </c>
      <c r="O37" s="187">
        <f>SUM(C37:N37)</f>
        <v/>
      </c>
    </row>
    <row r="38">
      <c r="B38" s="55" t="inlineStr">
        <is>
          <t xml:space="preserve">      Valla pequeña (desde M3)</t>
        </is>
      </c>
      <c r="C38" s="187" t="n">
        <v>0</v>
      </c>
      <c r="D38" s="187" t="n">
        <v>0</v>
      </c>
      <c r="E38" s="187" t="n">
        <v>350</v>
      </c>
      <c r="F38" s="187" t="n">
        <v>350</v>
      </c>
      <c r="G38" s="187" t="n">
        <v>350</v>
      </c>
      <c r="H38" s="187" t="n">
        <v>350</v>
      </c>
      <c r="I38" s="187" t="n">
        <v>350</v>
      </c>
      <c r="J38" s="187" t="n">
        <v>350</v>
      </c>
      <c r="K38" s="187" t="n">
        <v>350</v>
      </c>
      <c r="L38" s="187" t="n">
        <v>350</v>
      </c>
      <c r="M38" s="187" t="n">
        <v>350</v>
      </c>
      <c r="N38" s="187" t="n">
        <v>350</v>
      </c>
      <c r="O38" s="187">
        <f>SUM(C38:N38)</f>
        <v/>
      </c>
    </row>
    <row r="39" ht="15" customHeight="1" s="44">
      <c r="B39" s="55" t="inlineStr">
        <is>
          <t xml:space="preserve">      Material + transporte + contingencia (incl. buffer VE 20%)</t>
        </is>
      </c>
      <c r="C39" s="187" t="n">
        <v>1322</v>
      </c>
      <c r="D39" s="187" t="n">
        <v>1322</v>
      </c>
      <c r="E39" s="187" t="n">
        <v>1308</v>
      </c>
      <c r="F39" s="187" t="n">
        <v>1308</v>
      </c>
      <c r="G39" s="187" t="n">
        <v>1308</v>
      </c>
      <c r="H39" s="187" t="n">
        <v>1308</v>
      </c>
      <c r="I39" s="187" t="n">
        <v>1241</v>
      </c>
      <c r="J39" s="187" t="n">
        <v>1241</v>
      </c>
      <c r="K39" s="187" t="n">
        <v>1241</v>
      </c>
      <c r="L39" s="187" t="n">
        <v>1241</v>
      </c>
      <c r="M39" s="187" t="n">
        <v>1241</v>
      </c>
      <c r="N39" s="187" t="n">
        <v>1241</v>
      </c>
      <c r="O39" s="187">
        <f>SUM(C39:N39)</f>
        <v/>
      </c>
    </row>
    <row r="40" ht="15" customHeight="1" s="44">
      <c r="B40" s="12" t="inlineStr">
        <is>
          <t>Total Costos</t>
        </is>
      </c>
      <c r="C40" s="189">
        <f>C28+C29+C30+C31+C32+C33+C34+C35+C36+C37+C38+C39</f>
        <v/>
      </c>
      <c r="D40" s="189">
        <f>D28+D29+D30+D31+D32+D33+D34+D35+D36+D37+D38+D39</f>
        <v/>
      </c>
      <c r="E40" s="189">
        <f>E28+E29+E30+E31+E32+E33+E34+E35+E36+E37+E38+E39</f>
        <v/>
      </c>
      <c r="F40" s="189">
        <f>F28+F29+F30+F31+F32+F33+F34+F35+F36+F37+F38+F39</f>
        <v/>
      </c>
      <c r="G40" s="189">
        <f>G28+G29+G30+G31+G32+G33+G34+G35+G36+G37+G38+G39</f>
        <v/>
      </c>
      <c r="H40" s="189">
        <f>H28+H29+H30+H31+H32+H33+H34+H35+H36+H37+H38+H39</f>
        <v/>
      </c>
      <c r="I40" s="189">
        <f>I28+I29+I30+I31+I32+I33+I34+I35+I36+I37+I38+I39</f>
        <v/>
      </c>
      <c r="J40" s="189">
        <f>J28+J29+J30+J31+J32+J33+J34+J35+J36+J37+J38+J39</f>
        <v/>
      </c>
      <c r="K40" s="189">
        <f>K28+K29+K30+K31+K32+K33+K34+K35+K36+K37+K38+K39</f>
        <v/>
      </c>
      <c r="L40" s="189">
        <f>L28+L29+L30+L31+L32+L33+L34+L35+L36+L37+L38+L39</f>
        <v/>
      </c>
      <c r="M40" s="189">
        <f>M28+M29+M30+M31+M32+M33+M34+M35+M36+M37+M38+M39</f>
        <v/>
      </c>
      <c r="N40" s="189">
        <f>N28+N29+N30+N31+N32+N33+N34+N35+N36+N37+N38+N39</f>
        <v/>
      </c>
      <c r="O40" s="189">
        <f>SUM(C40:N40)</f>
        <v/>
      </c>
    </row>
    <row r="41" ht="15" customHeight="1" s="44"/>
    <row r="42" ht="15" customHeight="1" s="44">
      <c r="B42" s="12" t="inlineStr">
        <is>
          <t>FCF</t>
        </is>
      </c>
      <c r="C42" s="189">
        <f>C25-C40</f>
        <v/>
      </c>
      <c r="D42" s="189">
        <f>D25-D40</f>
        <v/>
      </c>
      <c r="E42" s="189">
        <f>E25-E40</f>
        <v/>
      </c>
      <c r="F42" s="189">
        <f>F25-F40</f>
        <v/>
      </c>
      <c r="G42" s="189">
        <f>G25-G40</f>
        <v/>
      </c>
      <c r="H42" s="189">
        <f>H25-H40</f>
        <v/>
      </c>
      <c r="I42" s="189">
        <f>I25-I40</f>
        <v/>
      </c>
      <c r="J42" s="189">
        <f>J25-J40</f>
        <v/>
      </c>
      <c r="K42" s="189">
        <f>K25-K40</f>
        <v/>
      </c>
      <c r="L42" s="189">
        <f>L25-L40</f>
        <v/>
      </c>
      <c r="M42" s="189">
        <f>M25-M40</f>
        <v/>
      </c>
      <c r="N42" s="189">
        <f>N25-N40</f>
        <v/>
      </c>
      <c r="O42" s="189">
        <f>SUM(C42:N42)</f>
        <v/>
      </c>
    </row>
    <row r="43">
      <c r="B43" s="55" t="inlineStr">
        <is>
          <t>FCF acumulado</t>
        </is>
      </c>
      <c r="C43" s="187">
        <f>C42</f>
        <v/>
      </c>
      <c r="D43" s="187">
        <f>C43+D42</f>
        <v/>
      </c>
      <c r="E43" s="187">
        <f>D43+E42</f>
        <v/>
      </c>
      <c r="F43" s="187">
        <f>E43+F42</f>
        <v/>
      </c>
      <c r="G43" s="187">
        <f>F43+G42</f>
        <v/>
      </c>
      <c r="H43" s="187">
        <f>G43+H42</f>
        <v/>
      </c>
      <c r="I43" s="187">
        <f>H43+I42</f>
        <v/>
      </c>
      <c r="J43" s="187">
        <f>I43+J42</f>
        <v/>
      </c>
      <c r="K43" s="187">
        <f>J43+K42</f>
        <v/>
      </c>
      <c r="L43" s="187">
        <f>K43+L42</f>
        <v/>
      </c>
      <c r="M43" s="187">
        <f>L43+M42</f>
        <v/>
      </c>
      <c r="N43" s="187">
        <f>M43+N42</f>
        <v/>
      </c>
      <c r="O43" s="187">
        <f>N43</f>
        <v/>
      </c>
    </row>
    <row r="44">
      <c r="B44" s="55" t="inlineStr">
        <is>
          <t>CCF (inversor SAFE 18,66%)</t>
        </is>
      </c>
      <c r="C44" s="187">
        <f>C42*$C$11</f>
        <v/>
      </c>
      <c r="D44" s="187">
        <f>D42*$C$11</f>
        <v/>
      </c>
      <c r="E44" s="187">
        <f>E42*$C$11</f>
        <v/>
      </c>
      <c r="F44" s="187">
        <f>F42*$C$11</f>
        <v/>
      </c>
      <c r="G44" s="187">
        <f>G42*$C$11</f>
        <v/>
      </c>
      <c r="H44" s="187">
        <f>H42*$C$11</f>
        <v/>
      </c>
      <c r="I44" s="187">
        <f>I42*$C$11</f>
        <v/>
      </c>
      <c r="J44" s="187">
        <f>J42*$C$11</f>
        <v/>
      </c>
      <c r="K44" s="187">
        <f>K42*$C$11</f>
        <v/>
      </c>
      <c r="L44" s="187">
        <f>L42*$C$11</f>
        <v/>
      </c>
      <c r="M44" s="187">
        <f>M42*$C$11</f>
        <v/>
      </c>
      <c r="N44" s="187">
        <f>N42*$C$11</f>
        <v/>
      </c>
    </row>
    <row r="45">
      <c r="B45" s="55" t="inlineStr">
        <is>
          <t>ECF (founders 81,34%)</t>
        </is>
      </c>
      <c r="C45" s="187">
        <f>C42-C44</f>
        <v/>
      </c>
      <c r="D45" s="187">
        <f>D42-D44</f>
        <v/>
      </c>
      <c r="E45" s="187">
        <f>E42-E44</f>
        <v/>
      </c>
      <c r="F45" s="187">
        <f>F42-F44</f>
        <v/>
      </c>
      <c r="G45" s="187">
        <f>G42-G44</f>
        <v/>
      </c>
      <c r="H45" s="187">
        <f>H42-H44</f>
        <v/>
      </c>
      <c r="I45" s="187">
        <f>I42-I44</f>
        <v/>
      </c>
      <c r="J45" s="187">
        <f>J42-J44</f>
        <v/>
      </c>
      <c r="K45" s="187">
        <f>K42-K44</f>
        <v/>
      </c>
      <c r="L45" s="187">
        <f>L42-L44</f>
        <v/>
      </c>
      <c r="M45" s="187">
        <f>M42-M44</f>
        <v/>
      </c>
      <c r="N45" s="187">
        <f>N42-N44</f>
        <v/>
      </c>
    </row>
    <row r="47">
      <c r="B47" s="52" t="inlineStr">
        <is>
          <t>Cash deployment (post Day-D)</t>
        </is>
      </c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</row>
    <row r="48">
      <c r="B48" s="55" t="inlineStr">
        <is>
          <t>Cash inicial mes</t>
        </is>
      </c>
      <c r="C48" s="187">
        <f>'Detallado de la inversión.'!G89</f>
        <v/>
      </c>
      <c r="D48" s="187">
        <f>C49</f>
        <v/>
      </c>
      <c r="E48" s="187">
        <f>D49</f>
        <v/>
      </c>
      <c r="F48" s="187">
        <f>E49</f>
        <v/>
      </c>
      <c r="G48" s="187">
        <f>F49</f>
        <v/>
      </c>
      <c r="H48" s="187">
        <f>G49</f>
        <v/>
      </c>
      <c r="I48" s="187">
        <f>H49</f>
        <v/>
      </c>
      <c r="J48" s="187">
        <f>I49</f>
        <v/>
      </c>
      <c r="K48" s="187">
        <f>J49</f>
        <v/>
      </c>
      <c r="L48" s="187">
        <f>K49</f>
        <v/>
      </c>
      <c r="M48" s="187">
        <f>L49</f>
        <v/>
      </c>
      <c r="N48" s="187">
        <f>M49</f>
        <v/>
      </c>
    </row>
    <row r="49">
      <c r="B49" s="55" t="inlineStr">
        <is>
          <t>Cash final mes</t>
        </is>
      </c>
      <c r="C49" s="187">
        <f>C48+C25-C40</f>
        <v/>
      </c>
      <c r="D49" s="187">
        <f>D48+D25-D40</f>
        <v/>
      </c>
      <c r="E49" s="187">
        <f>E48+E25-E40</f>
        <v/>
      </c>
      <c r="F49" s="187">
        <f>F48+F25-F40</f>
        <v/>
      </c>
      <c r="G49" s="187">
        <f>G48+G25-G40</f>
        <v/>
      </c>
      <c r="H49" s="187">
        <f>H48+H25-H40</f>
        <v/>
      </c>
      <c r="I49" s="187">
        <f>I48+I25-I40</f>
        <v/>
      </c>
      <c r="J49" s="187">
        <f>J48+J25-J40</f>
        <v/>
      </c>
      <c r="K49" s="187">
        <f>K48+K25-K40</f>
        <v/>
      </c>
      <c r="L49" s="187">
        <f>L48+L25-L40</f>
        <v/>
      </c>
      <c r="M49" s="187">
        <f>M48+M25-M40</f>
        <v/>
      </c>
      <c r="N49" s="187">
        <f>N48+N25-N40</f>
        <v/>
      </c>
    </row>
  </sheetData>
  <mergeCells count="1">
    <mergeCell ref="C16:N16"/>
  </mergeCells>
  <pageMargins left="0.75" right="0.75" top="1" bottom="1" header="0.511811023622047" footer="0.511811023622047"/>
  <pageSetup orientation="portrait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O29"/>
  <sheetViews>
    <sheetView zoomScale="95" zoomScaleNormal="95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C8" sqref="C8"/>
    </sheetView>
  </sheetViews>
  <sheetFormatPr baseColWidth="10" defaultColWidth="8.6640625" defaultRowHeight="14.4"/>
  <cols>
    <col width="2.21875" customWidth="1" style="44" min="1" max="1"/>
    <col width="39.21875" customWidth="1" style="44" min="2" max="2"/>
    <col width="18.77734375" customWidth="1" style="44" min="3" max="3"/>
    <col width="11" customWidth="1" style="44" min="4" max="14"/>
    <col width="11.5546875" customWidth="1" style="44" min="15" max="15"/>
  </cols>
  <sheetData>
    <row r="2">
      <c r="B2" s="16" t="inlineStr">
        <is>
          <t>ITEMS</t>
        </is>
      </c>
      <c r="C2" s="16" t="inlineStr">
        <is>
          <t>DATOS</t>
        </is>
      </c>
    </row>
    <row r="3">
      <c r="B3" s="17" t="inlineStr">
        <is>
          <t>Farmacias activas cierre (ref.)</t>
        </is>
      </c>
      <c r="C3" s="206">
        <f>'Año 1 escenario 1'!N19</f>
        <v/>
      </c>
    </row>
    <row r="4">
      <c r="B4" s="19" t="inlineStr">
        <is>
          <t>Revenue anual USD [LARGO PLAZO]</t>
        </is>
      </c>
      <c r="C4" s="207" t="n">
        <v>102000</v>
      </c>
    </row>
    <row r="5">
      <c r="B5" s="17" t="inlineStr">
        <is>
          <t>Costos anual USD [LARGO PLAZO]</t>
        </is>
      </c>
      <c r="C5" s="206" t="n">
        <v>96000</v>
      </c>
    </row>
    <row r="6">
      <c r="B6" s="19" t="inlineStr">
        <is>
          <t>Participación Inversor SAFE</t>
        </is>
      </c>
      <c r="C6" s="210" t="n">
        <v>0.1866</v>
      </c>
    </row>
    <row r="7">
      <c r="B7" s="17" t="inlineStr">
        <is>
          <t>Participación Founders</t>
        </is>
      </c>
      <c r="C7" s="211">
        <f>1-C6</f>
        <v/>
      </c>
    </row>
    <row r="8">
      <c r="B8" s="19" t="inlineStr">
        <is>
          <t>Etiqueta</t>
        </is>
      </c>
      <c r="C8" s="19" t="inlineStr">
        <is>
          <t>PROYECCION §2</t>
        </is>
      </c>
    </row>
    <row r="9">
      <c r="B9" s="23" t="inlineStr">
        <is>
          <t>AÑO 2</t>
        </is>
      </c>
      <c r="C9" s="43" t="inlineStr">
        <is>
          <t>AÑO 2</t>
        </is>
      </c>
    </row>
    <row r="10">
      <c r="C10" s="53" t="inlineStr">
        <is>
          <t>Mes 1</t>
        </is>
      </c>
      <c r="D10" s="53" t="inlineStr">
        <is>
          <t>Mes 2</t>
        </is>
      </c>
      <c r="E10" s="53" t="inlineStr">
        <is>
          <t>Mes 3</t>
        </is>
      </c>
      <c r="F10" s="53" t="inlineStr">
        <is>
          <t>Mes 4</t>
        </is>
      </c>
      <c r="G10" s="53" t="inlineStr">
        <is>
          <t>Mes 5</t>
        </is>
      </c>
      <c r="H10" s="53" t="inlineStr">
        <is>
          <t>Mes 6</t>
        </is>
      </c>
      <c r="I10" s="53" t="inlineStr">
        <is>
          <t>Mes 7</t>
        </is>
      </c>
      <c r="J10" s="53" t="inlineStr">
        <is>
          <t>Mes 8</t>
        </is>
      </c>
      <c r="K10" s="53" t="inlineStr">
        <is>
          <t>Mes 9</t>
        </is>
      </c>
      <c r="L10" s="53" t="inlineStr">
        <is>
          <t>Mes 10</t>
        </is>
      </c>
      <c r="M10" s="53" t="inlineStr">
        <is>
          <t>Mes 11</t>
        </is>
      </c>
      <c r="N10" s="53" t="inlineStr">
        <is>
          <t>Mes 12</t>
        </is>
      </c>
      <c r="O10" s="53" t="inlineStr">
        <is>
          <t>TOTAL</t>
        </is>
      </c>
    </row>
    <row r="11">
      <c r="B11" s="55" t="inlineStr">
        <is>
          <t>Farmacias activas promedio mes [LARGO PLAZO]</t>
        </is>
      </c>
      <c r="C11" s="187" t="n">
        <v>187</v>
      </c>
      <c r="D11" s="187" t="n">
        <v>187</v>
      </c>
      <c r="E11" s="187" t="n">
        <v>187</v>
      </c>
      <c r="F11" s="187" t="n">
        <v>187</v>
      </c>
      <c r="G11" s="187" t="n">
        <v>187</v>
      </c>
      <c r="H11" s="187" t="n">
        <v>187</v>
      </c>
      <c r="I11" s="187" t="n">
        <v>187</v>
      </c>
      <c r="J11" s="187" t="n">
        <v>187</v>
      </c>
      <c r="K11" s="187" t="n">
        <v>187</v>
      </c>
      <c r="L11" s="187" t="n">
        <v>187</v>
      </c>
      <c r="M11" s="187" t="n">
        <v>187</v>
      </c>
      <c r="N11" s="187" t="n">
        <v>187</v>
      </c>
      <c r="O11" s="187">
        <f>N11</f>
        <v/>
      </c>
    </row>
    <row r="13">
      <c r="B13" s="52" t="inlineStr">
        <is>
          <t>Ingresos ($)</t>
        </is>
      </c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</row>
    <row r="14" ht="15" customHeight="1" s="44">
      <c r="B14" s="55" t="inlineStr">
        <is>
          <t xml:space="preserve">      Revenue plataforma</t>
        </is>
      </c>
      <c r="C14" s="187" t="n">
        <v>6667.17</v>
      </c>
      <c r="D14" s="187" t="n">
        <v>6667.17</v>
      </c>
      <c r="E14" s="187" t="n">
        <v>6667.17</v>
      </c>
      <c r="F14" s="187" t="n">
        <v>8046.58</v>
      </c>
      <c r="G14" s="187" t="n">
        <v>8046.58</v>
      </c>
      <c r="H14" s="187" t="n">
        <v>8046.58</v>
      </c>
      <c r="I14" s="187" t="n">
        <v>9196.09</v>
      </c>
      <c r="J14" s="187" t="n">
        <v>9196.09</v>
      </c>
      <c r="K14" s="187" t="n">
        <v>9196.09</v>
      </c>
      <c r="L14" s="187" t="n">
        <v>10090.16</v>
      </c>
      <c r="M14" s="187" t="n">
        <v>10090.16</v>
      </c>
      <c r="N14" s="187" t="n">
        <v>10090.16</v>
      </c>
      <c r="O14" s="187">
        <f>SUM(C14:N14)</f>
        <v/>
      </c>
    </row>
    <row r="15" ht="15" customHeight="1" s="44">
      <c r="B15" s="12" t="inlineStr">
        <is>
          <t>Total Ingresos</t>
        </is>
      </c>
      <c r="C15" s="189">
        <f>C14</f>
        <v/>
      </c>
      <c r="D15" s="189">
        <f>D14</f>
        <v/>
      </c>
      <c r="E15" s="189">
        <f>E14</f>
        <v/>
      </c>
      <c r="F15" s="189">
        <f>F14</f>
        <v/>
      </c>
      <c r="G15" s="189">
        <f>G14</f>
        <v/>
      </c>
      <c r="H15" s="189">
        <f>H14</f>
        <v/>
      </c>
      <c r="I15" s="189">
        <f>I14</f>
        <v/>
      </c>
      <c r="J15" s="189">
        <f>J14</f>
        <v/>
      </c>
      <c r="K15" s="189">
        <f>K14</f>
        <v/>
      </c>
      <c r="L15" s="189">
        <f>L14</f>
        <v/>
      </c>
      <c r="M15" s="189">
        <f>M14</f>
        <v/>
      </c>
      <c r="N15" s="189">
        <f>N14</f>
        <v/>
      </c>
      <c r="O15" s="189">
        <f>SUM(C15:N15)</f>
        <v/>
      </c>
    </row>
    <row r="17">
      <c r="B17" s="52" t="inlineStr">
        <is>
          <t>Costos ($)</t>
        </is>
      </c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</row>
    <row r="18">
      <c r="B18" s="55" t="inlineStr">
        <is>
          <t xml:space="preserve">      Equipo comercial + ops</t>
        </is>
      </c>
      <c r="C18" s="187" t="n">
        <v>2691.47</v>
      </c>
      <c r="D18" s="187" t="n">
        <v>2691.47</v>
      </c>
      <c r="E18" s="187" t="n">
        <v>2691.47</v>
      </c>
      <c r="F18" s="187" t="n">
        <v>2778.29</v>
      </c>
      <c r="G18" s="187" t="n">
        <v>2778.29</v>
      </c>
      <c r="H18" s="187" t="n">
        <v>2778.29</v>
      </c>
      <c r="I18" s="187" t="n">
        <v>2865.12</v>
      </c>
      <c r="J18" s="187" t="n">
        <v>2865.12</v>
      </c>
      <c r="K18" s="187" t="n">
        <v>2865.12</v>
      </c>
      <c r="L18" s="187" t="n">
        <v>2865.12</v>
      </c>
      <c r="M18" s="187" t="n">
        <v>2865.12</v>
      </c>
      <c r="N18" s="187" t="n">
        <v>2865.12</v>
      </c>
      <c r="O18" s="187">
        <f>SUM(C18:N18)</f>
        <v/>
      </c>
    </row>
    <row r="19">
      <c r="B19" s="55" t="inlineStr">
        <is>
          <t xml:space="preserve">      Marketing digital</t>
        </is>
      </c>
      <c r="C19" s="187" t="n">
        <v>1384.19</v>
      </c>
      <c r="D19" s="187" t="n">
        <v>1384.19</v>
      </c>
      <c r="E19" s="187" t="n">
        <v>1384.19</v>
      </c>
      <c r="F19" s="187" t="n">
        <v>1428.84</v>
      </c>
      <c r="G19" s="187" t="n">
        <v>1428.84</v>
      </c>
      <c r="H19" s="187" t="n">
        <v>1428.84</v>
      </c>
      <c r="I19" s="187" t="n">
        <v>1473.49</v>
      </c>
      <c r="J19" s="187" t="n">
        <v>1473.49</v>
      </c>
      <c r="K19" s="187" t="n">
        <v>1473.49</v>
      </c>
      <c r="L19" s="187" t="n">
        <v>1473.49</v>
      </c>
      <c r="M19" s="187" t="n">
        <v>1473.49</v>
      </c>
      <c r="N19" s="187" t="n">
        <v>1473.49</v>
      </c>
      <c r="O19" s="187">
        <f>SUM(C19:N19)</f>
        <v/>
      </c>
    </row>
    <row r="20">
      <c r="B20" s="55" t="inlineStr">
        <is>
          <t xml:space="preserve">      Hosting + SaaS</t>
        </is>
      </c>
      <c r="C20" s="187" t="n">
        <v>615.1900000000001</v>
      </c>
      <c r="D20" s="187" t="n">
        <v>615.1900000000001</v>
      </c>
      <c r="E20" s="187" t="n">
        <v>615.1900000000001</v>
      </c>
      <c r="F20" s="187" t="n">
        <v>635.04</v>
      </c>
      <c r="G20" s="187" t="n">
        <v>635.04</v>
      </c>
      <c r="H20" s="187" t="n">
        <v>635.04</v>
      </c>
      <c r="I20" s="187" t="n">
        <v>654.88</v>
      </c>
      <c r="J20" s="187" t="n">
        <v>654.88</v>
      </c>
      <c r="K20" s="187" t="n">
        <v>654.88</v>
      </c>
      <c r="L20" s="187" t="n">
        <v>654.88</v>
      </c>
      <c r="M20" s="187" t="n">
        <v>654.88</v>
      </c>
      <c r="N20" s="187" t="n">
        <v>654.88</v>
      </c>
      <c r="O20" s="187">
        <f>SUM(C20:N20)</f>
        <v/>
      </c>
    </row>
    <row r="21">
      <c r="B21" s="55" t="inlineStr">
        <is>
          <t xml:space="preserve">      Legal / contador</t>
        </is>
      </c>
      <c r="C21" s="187" t="n">
        <v>538.29</v>
      </c>
      <c r="D21" s="187" t="n">
        <v>538.29</v>
      </c>
      <c r="E21" s="187" t="n">
        <v>538.29</v>
      </c>
      <c r="F21" s="187" t="n">
        <v>555.66</v>
      </c>
      <c r="G21" s="187" t="n">
        <v>555.66</v>
      </c>
      <c r="H21" s="187" t="n">
        <v>555.66</v>
      </c>
      <c r="I21" s="187" t="n">
        <v>573.02</v>
      </c>
      <c r="J21" s="187" t="n">
        <v>573.02</v>
      </c>
      <c r="K21" s="187" t="n">
        <v>573.02</v>
      </c>
      <c r="L21" s="187" t="n">
        <v>573.02</v>
      </c>
      <c r="M21" s="187" t="n">
        <v>573.02</v>
      </c>
      <c r="N21" s="187" t="n">
        <v>573.02</v>
      </c>
      <c r="O21" s="187">
        <f>SUM(C21:N21)</f>
        <v/>
      </c>
    </row>
    <row r="22">
      <c r="B22" s="55" t="inlineStr">
        <is>
          <t xml:space="preserve">      HQ + servicios</t>
        </is>
      </c>
      <c r="C22" s="187" t="n">
        <v>922.79</v>
      </c>
      <c r="D22" s="187" t="n">
        <v>922.79</v>
      </c>
      <c r="E22" s="187" t="n">
        <v>922.79</v>
      </c>
      <c r="F22" s="187" t="n">
        <v>952.5599999999999</v>
      </c>
      <c r="G22" s="187" t="n">
        <v>952.5599999999999</v>
      </c>
      <c r="H22" s="187" t="n">
        <v>952.5599999999999</v>
      </c>
      <c r="I22" s="187" t="n">
        <v>982.33</v>
      </c>
      <c r="J22" s="187" t="n">
        <v>982.33</v>
      </c>
      <c r="K22" s="187" t="n">
        <v>982.33</v>
      </c>
      <c r="L22" s="187" t="n">
        <v>982.33</v>
      </c>
      <c r="M22" s="187" t="n">
        <v>982.33</v>
      </c>
      <c r="N22" s="187" t="n">
        <v>982.33</v>
      </c>
      <c r="O22" s="187">
        <f>SUM(C22:N22)</f>
        <v/>
      </c>
    </row>
    <row r="23" ht="15" customHeight="1" s="44">
      <c r="B23" s="55" t="inlineStr">
        <is>
          <t xml:space="preserve">      Imprevistos / buffer</t>
        </is>
      </c>
      <c r="C23" s="187" t="n">
        <v>1537.98</v>
      </c>
      <c r="D23" s="187" t="n">
        <v>1537.98</v>
      </c>
      <c r="E23" s="187" t="n">
        <v>1537.98</v>
      </c>
      <c r="F23" s="187" t="n">
        <v>1587.6</v>
      </c>
      <c r="G23" s="187" t="n">
        <v>1587.6</v>
      </c>
      <c r="H23" s="187" t="n">
        <v>1587.6</v>
      </c>
      <c r="I23" s="187" t="n">
        <v>1637.21</v>
      </c>
      <c r="J23" s="187" t="n">
        <v>1637.21</v>
      </c>
      <c r="K23" s="187" t="n">
        <v>1637.21</v>
      </c>
      <c r="L23" s="187" t="n">
        <v>1637.21</v>
      </c>
      <c r="M23" s="187" t="n">
        <v>1637.21</v>
      </c>
      <c r="N23" s="187" t="n">
        <v>1637.21</v>
      </c>
      <c r="O23" s="187">
        <f>SUM(C23:N23)</f>
        <v/>
      </c>
    </row>
    <row r="24" ht="15" customHeight="1" s="44">
      <c r="B24" s="12" t="inlineStr">
        <is>
          <t>Total Costos</t>
        </is>
      </c>
      <c r="C24" s="189" t="n"/>
      <c r="D24" s="189" t="n"/>
      <c r="E24" s="189" t="n"/>
      <c r="F24" s="189" t="n"/>
      <c r="G24" s="189" t="n"/>
      <c r="H24" s="189" t="n"/>
      <c r="I24" s="189" t="n"/>
      <c r="J24" s="189" t="n"/>
      <c r="K24" s="189" t="n"/>
      <c r="L24" s="189" t="n"/>
      <c r="M24" s="189" t="n"/>
      <c r="N24" s="189" t="n"/>
      <c r="O24" s="189">
        <f>SUM(C18:N23)</f>
        <v/>
      </c>
    </row>
    <row r="25" ht="15" customHeight="1" s="44"/>
    <row r="26" ht="15" customHeight="1" s="44">
      <c r="B26" s="12" t="inlineStr">
        <is>
          <t>FCF</t>
        </is>
      </c>
      <c r="C26" s="189">
        <f>C15-C24</f>
        <v/>
      </c>
      <c r="D26" s="189">
        <f>D15-D24</f>
        <v/>
      </c>
      <c r="E26" s="189">
        <f>E15-E24</f>
        <v/>
      </c>
      <c r="F26" s="189">
        <f>F15-F24</f>
        <v/>
      </c>
      <c r="G26" s="189">
        <f>G15-G24</f>
        <v/>
      </c>
      <c r="H26" s="189">
        <f>H15-H24</f>
        <v/>
      </c>
      <c r="I26" s="189">
        <f>I15-I24</f>
        <v/>
      </c>
      <c r="J26" s="189">
        <f>J15-J24</f>
        <v/>
      </c>
      <c r="K26" s="189">
        <f>K15-K24</f>
        <v/>
      </c>
      <c r="L26" s="189">
        <f>L15-L24</f>
        <v/>
      </c>
      <c r="M26" s="189">
        <f>M15-M24</f>
        <v/>
      </c>
      <c r="N26" s="189">
        <f>N15-N24</f>
        <v/>
      </c>
      <c r="O26" s="189">
        <f>SUM(C26:N26)</f>
        <v/>
      </c>
    </row>
    <row r="27">
      <c r="B27" s="55" t="inlineStr">
        <is>
          <t>FCF acumulado</t>
        </is>
      </c>
      <c r="C27" s="187">
        <f>C26</f>
        <v/>
      </c>
      <c r="D27" s="187">
        <f>C27+D26</f>
        <v/>
      </c>
      <c r="E27" s="187">
        <f>D27+E26</f>
        <v/>
      </c>
      <c r="F27" s="187">
        <f>E27+F26</f>
        <v/>
      </c>
      <c r="G27" s="187">
        <f>F27+G26</f>
        <v/>
      </c>
      <c r="H27" s="187">
        <f>G27+H26</f>
        <v/>
      </c>
      <c r="I27" s="187">
        <f>H27+I26</f>
        <v/>
      </c>
      <c r="J27" s="187">
        <f>I27+J26</f>
        <v/>
      </c>
      <c r="K27" s="187">
        <f>J27+K26</f>
        <v/>
      </c>
      <c r="L27" s="187">
        <f>K27+L26</f>
        <v/>
      </c>
      <c r="M27" s="187">
        <f>L27+M26</f>
        <v/>
      </c>
      <c r="N27" s="187">
        <f>M27+N26</f>
        <v/>
      </c>
      <c r="O27" s="187">
        <f>N27</f>
        <v/>
      </c>
    </row>
    <row r="28">
      <c r="B28" s="55" t="inlineStr">
        <is>
          <t>CCF (inversor SAFE 18,66%)</t>
        </is>
      </c>
      <c r="C28" s="187">
        <f>C26*$C$6</f>
        <v/>
      </c>
      <c r="D28" s="187">
        <f>D26*$C$6</f>
        <v/>
      </c>
      <c r="E28" s="187">
        <f>E26*$C$6</f>
        <v/>
      </c>
      <c r="F28" s="187">
        <f>F26*$C$6</f>
        <v/>
      </c>
      <c r="G28" s="187">
        <f>G26*$C$6</f>
        <v/>
      </c>
      <c r="H28" s="187">
        <f>H26*$C$6</f>
        <v/>
      </c>
      <c r="I28" s="187">
        <f>I26*$C$6</f>
        <v/>
      </c>
      <c r="J28" s="187">
        <f>J26*$C$6</f>
        <v/>
      </c>
      <c r="K28" s="187">
        <f>K26*$C$6</f>
        <v/>
      </c>
      <c r="L28" s="187">
        <f>L26*$C$6</f>
        <v/>
      </c>
      <c r="M28" s="187">
        <f>M26*$C$6</f>
        <v/>
      </c>
      <c r="N28" s="187">
        <f>N26*$C$6</f>
        <v/>
      </c>
    </row>
    <row r="29">
      <c r="B29" s="55" t="inlineStr">
        <is>
          <t>ECF (founders 81,34%)</t>
        </is>
      </c>
      <c r="C29" s="187">
        <f>C26-C28</f>
        <v/>
      </c>
      <c r="D29" s="187">
        <f>D26-D28</f>
        <v/>
      </c>
      <c r="E29" s="187">
        <f>E26-E28</f>
        <v/>
      </c>
      <c r="F29" s="187">
        <f>F26-F28</f>
        <v/>
      </c>
      <c r="G29" s="187">
        <f>G26-G28</f>
        <v/>
      </c>
      <c r="H29" s="187">
        <f>H26-H28</f>
        <v/>
      </c>
      <c r="I29" s="187">
        <f>I26-I28</f>
        <v/>
      </c>
      <c r="J29" s="187">
        <f>J26-J28</f>
        <v/>
      </c>
      <c r="K29" s="187">
        <f>K26-K28</f>
        <v/>
      </c>
      <c r="L29" s="187">
        <f>L26-L28</f>
        <v/>
      </c>
      <c r="M29" s="187">
        <f>M26-M28</f>
        <v/>
      </c>
      <c r="N29" s="187">
        <f>N26-N28</f>
        <v/>
      </c>
    </row>
  </sheetData>
  <mergeCells count="1">
    <mergeCell ref="C9:N9"/>
  </mergeCells>
  <pageMargins left="0.75" right="0.75" top="1" bottom="1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29"/>
  <sheetViews>
    <sheetView zoomScale="95" zoomScaleNormal="95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4.4"/>
  <cols>
    <col width="1.21875" customWidth="1" style="44" min="1" max="1"/>
    <col width="37.21875" customWidth="1" style="44" min="2" max="2"/>
    <col width="18.44140625" customWidth="1" style="44" min="3" max="3"/>
    <col width="11" customWidth="1" style="44" min="4" max="14"/>
    <col width="10.109375" customWidth="1" style="44" min="15" max="15"/>
    <col width="11.5546875" customWidth="1" style="44" min="16" max="16"/>
  </cols>
  <sheetData>
    <row r="2">
      <c r="B2" s="16" t="inlineStr">
        <is>
          <t>ITEMS</t>
        </is>
      </c>
      <c r="C2" s="16" t="inlineStr">
        <is>
          <t>DATOS</t>
        </is>
      </c>
    </row>
    <row r="3">
      <c r="B3" s="17" t="inlineStr">
        <is>
          <t>Farmacias activas cierre (ref.)</t>
        </is>
      </c>
      <c r="C3" s="206">
        <f>'Año 2'!N11</f>
        <v/>
      </c>
    </row>
    <row r="4">
      <c r="B4" s="19" t="inlineStr">
        <is>
          <t>Revenue anual USD [LARGO PLAZO]</t>
        </is>
      </c>
      <c r="C4" s="207" t="n">
        <v>192000</v>
      </c>
    </row>
    <row r="5">
      <c r="B5" s="17" t="inlineStr">
        <is>
          <t>Costos anual USD [LARGO PLAZO]</t>
        </is>
      </c>
      <c r="C5" s="206" t="n">
        <v>108000</v>
      </c>
    </row>
    <row r="6">
      <c r="B6" s="19" t="inlineStr">
        <is>
          <t>Participación Inversor SAFE</t>
        </is>
      </c>
      <c r="C6" s="210" t="n">
        <v>0.1866</v>
      </c>
    </row>
    <row r="7">
      <c r="B7" s="17" t="inlineStr">
        <is>
          <t>Participación Founders</t>
        </is>
      </c>
      <c r="C7" s="211">
        <f>1-C6</f>
        <v/>
      </c>
    </row>
    <row r="8">
      <c r="B8" s="19" t="inlineStr">
        <is>
          <t>Etiqueta</t>
        </is>
      </c>
      <c r="C8" s="19" t="inlineStr">
        <is>
          <t>PROYECCION §3</t>
        </is>
      </c>
    </row>
    <row r="9">
      <c r="B9" s="23" t="inlineStr">
        <is>
          <t>AÑO 3</t>
        </is>
      </c>
      <c r="C9" s="43" t="inlineStr">
        <is>
          <t>AÑO 3</t>
        </is>
      </c>
    </row>
    <row r="10">
      <c r="C10" s="53" t="inlineStr">
        <is>
          <t>Mes 1</t>
        </is>
      </c>
      <c r="D10" s="53" t="inlineStr">
        <is>
          <t>Mes 2</t>
        </is>
      </c>
      <c r="E10" s="53" t="inlineStr">
        <is>
          <t>Mes 3</t>
        </is>
      </c>
      <c r="F10" s="53" t="inlineStr">
        <is>
          <t>Mes 4</t>
        </is>
      </c>
      <c r="G10" s="53" t="inlineStr">
        <is>
          <t>Mes 5</t>
        </is>
      </c>
      <c r="H10" s="53" t="inlineStr">
        <is>
          <t>Mes 6</t>
        </is>
      </c>
      <c r="I10" s="53" t="inlineStr">
        <is>
          <t>Mes 7</t>
        </is>
      </c>
      <c r="J10" s="53" t="inlineStr">
        <is>
          <t>Mes 8</t>
        </is>
      </c>
      <c r="K10" s="53" t="inlineStr">
        <is>
          <t>Mes 9</t>
        </is>
      </c>
      <c r="L10" s="53" t="inlineStr">
        <is>
          <t>Mes 10</t>
        </is>
      </c>
      <c r="M10" s="53" t="inlineStr">
        <is>
          <t>Mes 11</t>
        </is>
      </c>
      <c r="N10" s="53" t="inlineStr">
        <is>
          <t>Mes 12</t>
        </is>
      </c>
      <c r="O10" s="53" t="inlineStr">
        <is>
          <t>TOTAL</t>
        </is>
      </c>
    </row>
    <row r="11">
      <c r="B11" s="55" t="inlineStr">
        <is>
          <t>Farmacias activas promedio mes [LARGO PLAZO]</t>
        </is>
      </c>
      <c r="C11" s="187" t="n">
        <v>374</v>
      </c>
      <c r="D11" s="187" t="n">
        <v>374</v>
      </c>
      <c r="E11" s="187" t="n">
        <v>374</v>
      </c>
      <c r="F11" s="187" t="n">
        <v>374</v>
      </c>
      <c r="G11" s="187" t="n">
        <v>374</v>
      </c>
      <c r="H11" s="187" t="n">
        <v>374</v>
      </c>
      <c r="I11" s="187" t="n">
        <v>374</v>
      </c>
      <c r="J11" s="187" t="n">
        <v>374</v>
      </c>
      <c r="K11" s="187" t="n">
        <v>374</v>
      </c>
      <c r="L11" s="187" t="n">
        <v>374</v>
      </c>
      <c r="M11" s="187" t="n">
        <v>374</v>
      </c>
      <c r="N11" s="187" t="n">
        <v>374</v>
      </c>
      <c r="O11" s="187">
        <f>N11</f>
        <v/>
      </c>
    </row>
    <row r="13">
      <c r="B13" s="52" t="inlineStr">
        <is>
          <t>Ingresos ($)</t>
        </is>
      </c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</row>
    <row r="14" ht="15" customHeight="1" s="44">
      <c r="B14" s="55" t="inlineStr">
        <is>
          <t xml:space="preserve">      Revenue plataforma</t>
        </is>
      </c>
      <c r="C14" s="187" t="n">
        <v>12325.93</v>
      </c>
      <c r="D14" s="187" t="n">
        <v>12325.93</v>
      </c>
      <c r="E14" s="187" t="n">
        <v>12325.93</v>
      </c>
      <c r="F14" s="187" t="n">
        <v>14696.3</v>
      </c>
      <c r="G14" s="187" t="n">
        <v>14696.3</v>
      </c>
      <c r="H14" s="187" t="n">
        <v>14696.3</v>
      </c>
      <c r="I14" s="187" t="n">
        <v>17066.67</v>
      </c>
      <c r="J14" s="187" t="n">
        <v>17066.67</v>
      </c>
      <c r="K14" s="187" t="n">
        <v>17066.67</v>
      </c>
      <c r="L14" s="187" t="n">
        <v>19911.11</v>
      </c>
      <c r="M14" s="187" t="n">
        <v>19911.11</v>
      </c>
      <c r="N14" s="187" t="n">
        <v>19911.11</v>
      </c>
      <c r="O14" s="187">
        <f>SUM(C14:N14)</f>
        <v/>
      </c>
    </row>
    <row r="15" ht="15" customHeight="1" s="44">
      <c r="B15" s="12" t="inlineStr">
        <is>
          <t>Total Ingresos</t>
        </is>
      </c>
      <c r="C15" s="189">
        <f>C14</f>
        <v/>
      </c>
      <c r="D15" s="189">
        <f>D14</f>
        <v/>
      </c>
      <c r="E15" s="189">
        <f>E14</f>
        <v/>
      </c>
      <c r="F15" s="189">
        <f>F14</f>
        <v/>
      </c>
      <c r="G15" s="189">
        <f>G14</f>
        <v/>
      </c>
      <c r="H15" s="189">
        <f>H14</f>
        <v/>
      </c>
      <c r="I15" s="189">
        <f>I14</f>
        <v/>
      </c>
      <c r="J15" s="189">
        <f>J14</f>
        <v/>
      </c>
      <c r="K15" s="189">
        <f>K14</f>
        <v/>
      </c>
      <c r="L15" s="189">
        <f>L14</f>
        <v/>
      </c>
      <c r="M15" s="189">
        <f>M14</f>
        <v/>
      </c>
      <c r="N15" s="189">
        <f>N14</f>
        <v/>
      </c>
      <c r="O15" s="189">
        <f>SUM(C15:N15)</f>
        <v/>
      </c>
    </row>
    <row r="17">
      <c r="B17" s="52" t="inlineStr">
        <is>
          <t>Costos ($)</t>
        </is>
      </c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</row>
    <row r="18">
      <c r="B18" s="55" t="inlineStr">
        <is>
          <t xml:space="preserve">      Equipo comercial + ops</t>
        </is>
      </c>
      <c r="C18" s="187" t="n">
        <v>2625</v>
      </c>
      <c r="D18" s="187" t="n">
        <v>2625</v>
      </c>
      <c r="E18" s="187" t="n">
        <v>2625</v>
      </c>
      <c r="F18" s="187" t="n">
        <v>2975</v>
      </c>
      <c r="G18" s="187" t="n">
        <v>2975</v>
      </c>
      <c r="H18" s="187" t="n">
        <v>2975</v>
      </c>
      <c r="I18" s="187" t="n">
        <v>3325</v>
      </c>
      <c r="J18" s="187" t="n">
        <v>3325</v>
      </c>
      <c r="K18" s="187" t="n">
        <v>3325</v>
      </c>
      <c r="L18" s="187" t="n">
        <v>3675</v>
      </c>
      <c r="M18" s="187" t="n">
        <v>3675</v>
      </c>
      <c r="N18" s="187" t="n">
        <v>3675</v>
      </c>
      <c r="O18" s="187">
        <f>SUM(C18:N18)</f>
        <v/>
      </c>
    </row>
    <row r="19">
      <c r="B19" s="55" t="inlineStr">
        <is>
          <t xml:space="preserve">      Marketing digital</t>
        </is>
      </c>
      <c r="C19" s="187" t="n">
        <v>1350</v>
      </c>
      <c r="D19" s="187" t="n">
        <v>1350</v>
      </c>
      <c r="E19" s="187" t="n">
        <v>1350</v>
      </c>
      <c r="F19" s="187" t="n">
        <v>1530</v>
      </c>
      <c r="G19" s="187" t="n">
        <v>1530</v>
      </c>
      <c r="H19" s="187" t="n">
        <v>1530</v>
      </c>
      <c r="I19" s="187" t="n">
        <v>1710</v>
      </c>
      <c r="J19" s="187" t="n">
        <v>1710</v>
      </c>
      <c r="K19" s="187" t="n">
        <v>1710</v>
      </c>
      <c r="L19" s="187" t="n">
        <v>1890</v>
      </c>
      <c r="M19" s="187" t="n">
        <v>1890</v>
      </c>
      <c r="N19" s="187" t="n">
        <v>1890</v>
      </c>
      <c r="O19" s="187">
        <f>SUM(C19:N19)</f>
        <v/>
      </c>
    </row>
    <row r="20">
      <c r="B20" s="55" t="inlineStr">
        <is>
          <t xml:space="preserve">      Hosting + SaaS</t>
        </is>
      </c>
      <c r="C20" s="187" t="n">
        <v>600</v>
      </c>
      <c r="D20" s="187" t="n">
        <v>600</v>
      </c>
      <c r="E20" s="187" t="n">
        <v>600</v>
      </c>
      <c r="F20" s="187" t="n">
        <v>680</v>
      </c>
      <c r="G20" s="187" t="n">
        <v>680</v>
      </c>
      <c r="H20" s="187" t="n">
        <v>680</v>
      </c>
      <c r="I20" s="187" t="n">
        <v>760</v>
      </c>
      <c r="J20" s="187" t="n">
        <v>760</v>
      </c>
      <c r="K20" s="187" t="n">
        <v>760</v>
      </c>
      <c r="L20" s="187" t="n">
        <v>840</v>
      </c>
      <c r="M20" s="187" t="n">
        <v>840</v>
      </c>
      <c r="N20" s="187" t="n">
        <v>840</v>
      </c>
      <c r="O20" s="187">
        <f>SUM(C20:N20)</f>
        <v/>
      </c>
    </row>
    <row r="21">
      <c r="B21" s="55" t="inlineStr">
        <is>
          <t xml:space="preserve">      Legal / contador</t>
        </is>
      </c>
      <c r="C21" s="187" t="n">
        <v>525</v>
      </c>
      <c r="D21" s="187" t="n">
        <v>525</v>
      </c>
      <c r="E21" s="187" t="n">
        <v>525</v>
      </c>
      <c r="F21" s="187" t="n">
        <v>595</v>
      </c>
      <c r="G21" s="187" t="n">
        <v>595</v>
      </c>
      <c r="H21" s="187" t="n">
        <v>595</v>
      </c>
      <c r="I21" s="187" t="n">
        <v>665</v>
      </c>
      <c r="J21" s="187" t="n">
        <v>665</v>
      </c>
      <c r="K21" s="187" t="n">
        <v>665</v>
      </c>
      <c r="L21" s="187" t="n">
        <v>735</v>
      </c>
      <c r="M21" s="187" t="n">
        <v>735</v>
      </c>
      <c r="N21" s="187" t="n">
        <v>735</v>
      </c>
      <c r="O21" s="187">
        <f>SUM(C21:N21)</f>
        <v/>
      </c>
    </row>
    <row r="22">
      <c r="B22" s="55" t="inlineStr">
        <is>
          <t xml:space="preserve">      HQ + servicios</t>
        </is>
      </c>
      <c r="C22" s="187" t="n">
        <v>900</v>
      </c>
      <c r="D22" s="187" t="n">
        <v>900</v>
      </c>
      <c r="E22" s="187" t="n">
        <v>900</v>
      </c>
      <c r="F22" s="187" t="n">
        <v>1020</v>
      </c>
      <c r="G22" s="187" t="n">
        <v>1020</v>
      </c>
      <c r="H22" s="187" t="n">
        <v>1020</v>
      </c>
      <c r="I22" s="187" t="n">
        <v>1140</v>
      </c>
      <c r="J22" s="187" t="n">
        <v>1140</v>
      </c>
      <c r="K22" s="187" t="n">
        <v>1140</v>
      </c>
      <c r="L22" s="187" t="n">
        <v>1260</v>
      </c>
      <c r="M22" s="187" t="n">
        <v>1260</v>
      </c>
      <c r="N22" s="187" t="n">
        <v>1260</v>
      </c>
      <c r="O22" s="187">
        <f>SUM(C22:N22)</f>
        <v/>
      </c>
    </row>
    <row r="23" ht="15" customHeight="1" s="44">
      <c r="B23" s="55" t="inlineStr">
        <is>
          <t xml:space="preserve">      Imprevistos / buffer</t>
        </is>
      </c>
      <c r="C23" s="187" t="n">
        <v>1500</v>
      </c>
      <c r="D23" s="187" t="n">
        <v>1500</v>
      </c>
      <c r="E23" s="187" t="n">
        <v>1500</v>
      </c>
      <c r="F23" s="187" t="n">
        <v>1700</v>
      </c>
      <c r="G23" s="187" t="n">
        <v>1700</v>
      </c>
      <c r="H23" s="187" t="n">
        <v>1700</v>
      </c>
      <c r="I23" s="187" t="n">
        <v>1900</v>
      </c>
      <c r="J23" s="187" t="n">
        <v>1900</v>
      </c>
      <c r="K23" s="187" t="n">
        <v>1900</v>
      </c>
      <c r="L23" s="187" t="n">
        <v>2100</v>
      </c>
      <c r="M23" s="187" t="n">
        <v>2100</v>
      </c>
      <c r="N23" s="187" t="n">
        <v>2100</v>
      </c>
      <c r="O23" s="187">
        <f>SUM(C23:N23)</f>
        <v/>
      </c>
    </row>
    <row r="24" ht="15" customHeight="1" s="44">
      <c r="B24" s="12" t="inlineStr">
        <is>
          <t>Total Costos</t>
        </is>
      </c>
      <c r="C24" s="189" t="n"/>
      <c r="D24" s="189" t="n"/>
      <c r="E24" s="189" t="n"/>
      <c r="F24" s="189" t="n"/>
      <c r="G24" s="189" t="n"/>
      <c r="H24" s="189" t="n"/>
      <c r="I24" s="189" t="n"/>
      <c r="J24" s="189" t="n"/>
      <c r="K24" s="189" t="n"/>
      <c r="L24" s="189" t="n"/>
      <c r="M24" s="189" t="n"/>
      <c r="N24" s="189" t="n"/>
      <c r="O24" s="189">
        <f>SUM(C18:N23)</f>
        <v/>
      </c>
    </row>
    <row r="25" ht="15" customHeight="1" s="44"/>
    <row r="26" ht="15" customHeight="1" s="44">
      <c r="B26" s="12" t="inlineStr">
        <is>
          <t>FCF</t>
        </is>
      </c>
      <c r="C26" s="189">
        <f>C15-C24</f>
        <v/>
      </c>
      <c r="D26" s="189">
        <f>D15-D24</f>
        <v/>
      </c>
      <c r="E26" s="189">
        <f>E15-E24</f>
        <v/>
      </c>
      <c r="F26" s="189">
        <f>F15-F24</f>
        <v/>
      </c>
      <c r="G26" s="189">
        <f>G15-G24</f>
        <v/>
      </c>
      <c r="H26" s="189">
        <f>H15-H24</f>
        <v/>
      </c>
      <c r="I26" s="189">
        <f>I15-I24</f>
        <v/>
      </c>
      <c r="J26" s="189">
        <f>J15-J24</f>
        <v/>
      </c>
      <c r="K26" s="189">
        <f>K15-K24</f>
        <v/>
      </c>
      <c r="L26" s="189">
        <f>L15-L24</f>
        <v/>
      </c>
      <c r="M26" s="189">
        <f>M15-M24</f>
        <v/>
      </c>
      <c r="N26" s="189">
        <f>N15-N24</f>
        <v/>
      </c>
      <c r="O26" s="189">
        <f>SUM(C26:N26)</f>
        <v/>
      </c>
    </row>
    <row r="27">
      <c r="B27" s="55" t="inlineStr">
        <is>
          <t>FCF acumulado</t>
        </is>
      </c>
      <c r="C27" s="187">
        <f>C26</f>
        <v/>
      </c>
      <c r="D27" s="187">
        <f>C27+D26</f>
        <v/>
      </c>
      <c r="E27" s="187">
        <f>D27+E26</f>
        <v/>
      </c>
      <c r="F27" s="187">
        <f>E27+F26</f>
        <v/>
      </c>
      <c r="G27" s="187">
        <f>F27+G26</f>
        <v/>
      </c>
      <c r="H27" s="187">
        <f>G27+H26</f>
        <v/>
      </c>
      <c r="I27" s="187">
        <f>H27+I26</f>
        <v/>
      </c>
      <c r="J27" s="187">
        <f>I27+J26</f>
        <v/>
      </c>
      <c r="K27" s="187">
        <f>J27+K26</f>
        <v/>
      </c>
      <c r="L27" s="187">
        <f>K27+L26</f>
        <v/>
      </c>
      <c r="M27" s="187">
        <f>L27+M26</f>
        <v/>
      </c>
      <c r="N27" s="187">
        <f>M27+N26</f>
        <v/>
      </c>
      <c r="O27" s="187">
        <f>N27</f>
        <v/>
      </c>
    </row>
    <row r="28">
      <c r="B28" s="55" t="inlineStr">
        <is>
          <t>CCF (inversor SAFE 18,66%)</t>
        </is>
      </c>
      <c r="C28" s="187">
        <f>C26*$C$6</f>
        <v/>
      </c>
      <c r="D28" s="187">
        <f>D26*$C$6</f>
        <v/>
      </c>
      <c r="E28" s="187">
        <f>E26*$C$6</f>
        <v/>
      </c>
      <c r="F28" s="187">
        <f>F26*$C$6</f>
        <v/>
      </c>
      <c r="G28" s="187">
        <f>G26*$C$6</f>
        <v/>
      </c>
      <c r="H28" s="187">
        <f>H26*$C$6</f>
        <v/>
      </c>
      <c r="I28" s="187">
        <f>I26*$C$6</f>
        <v/>
      </c>
      <c r="J28" s="187">
        <f>J26*$C$6</f>
        <v/>
      </c>
      <c r="K28" s="187">
        <f>K26*$C$6</f>
        <v/>
      </c>
      <c r="L28" s="187">
        <f>L26*$C$6</f>
        <v/>
      </c>
      <c r="M28" s="187">
        <f>M26*$C$6</f>
        <v/>
      </c>
      <c r="N28" s="187">
        <f>N26*$C$6</f>
        <v/>
      </c>
    </row>
    <row r="29">
      <c r="B29" s="55" t="inlineStr">
        <is>
          <t>ECF (founders 81,34%)</t>
        </is>
      </c>
      <c r="C29" s="187">
        <f>C26-C28</f>
        <v/>
      </c>
      <c r="D29" s="187">
        <f>D26-D28</f>
        <v/>
      </c>
      <c r="E29" s="187">
        <f>E26-E28</f>
        <v/>
      </c>
      <c r="F29" s="187">
        <f>F26-F28</f>
        <v/>
      </c>
      <c r="G29" s="187">
        <f>G26-G28</f>
        <v/>
      </c>
      <c r="H29" s="187">
        <f>H26-H28</f>
        <v/>
      </c>
      <c r="I29" s="187">
        <f>I26-I28</f>
        <v/>
      </c>
      <c r="J29" s="187">
        <f>J26-J28</f>
        <v/>
      </c>
      <c r="K29" s="187">
        <f>K26-K28</f>
        <v/>
      </c>
      <c r="L29" s="187">
        <f>L26-L28</f>
        <v/>
      </c>
      <c r="M29" s="187">
        <f>M26-M28</f>
        <v/>
      </c>
      <c r="N29" s="187">
        <f>N26-N28</f>
        <v/>
      </c>
    </row>
  </sheetData>
  <mergeCells count="1">
    <mergeCell ref="C9:N9"/>
  </mergeCells>
  <pageMargins left="0.75" right="0.75" top="1" bottom="1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29"/>
  <sheetViews>
    <sheetView zoomScale="95" zoomScaleNormal="95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4.4"/>
  <cols>
    <col width="1.5546875" customWidth="1" style="44" min="1" max="1"/>
    <col width="41.109375" customWidth="1" style="44" min="2" max="2"/>
    <col width="23" customWidth="1" style="44" min="3" max="3"/>
    <col width="11" customWidth="1" style="44" min="4" max="14"/>
    <col width="9.77734375" customWidth="1" style="44" min="15" max="15"/>
    <col width="11.5546875" customWidth="1" style="44" min="16" max="16"/>
  </cols>
  <sheetData>
    <row r="2">
      <c r="B2" s="16" t="inlineStr">
        <is>
          <t>ITEMS</t>
        </is>
      </c>
      <c r="C2" s="16" t="inlineStr">
        <is>
          <t>DATOS</t>
        </is>
      </c>
    </row>
    <row r="3">
      <c r="B3" s="17" t="inlineStr">
        <is>
          <t>Farmacias activas cierre (ref.)</t>
        </is>
      </c>
      <c r="C3" s="206">
        <f>'Año 3'!N11</f>
        <v/>
      </c>
    </row>
    <row r="4">
      <c r="B4" s="19" t="inlineStr">
        <is>
          <t>Revenue anual USD [LARGO PLAZO]</t>
        </is>
      </c>
      <c r="C4" s="207" t="n">
        <v>240000</v>
      </c>
    </row>
    <row r="5">
      <c r="B5" s="17" t="inlineStr">
        <is>
          <t>Costos anual USD [LARGO PLAZO]</t>
        </is>
      </c>
      <c r="C5" s="206" t="n">
        <v>130000</v>
      </c>
    </row>
    <row r="6">
      <c r="B6" s="19" t="inlineStr">
        <is>
          <t>Participación Inversor SAFE</t>
        </is>
      </c>
      <c r="C6" s="210" t="n">
        <v>0.1866</v>
      </c>
    </row>
    <row r="7">
      <c r="B7" s="17" t="inlineStr">
        <is>
          <t>Participación Founders</t>
        </is>
      </c>
      <c r="C7" s="211">
        <f>1-C6</f>
        <v/>
      </c>
    </row>
    <row r="8">
      <c r="B8" s="19" t="inlineStr">
        <is>
          <t>Etiqueta</t>
        </is>
      </c>
      <c r="C8" s="19" t="inlineStr">
        <is>
          <t>SUPUESTO MODELO</t>
        </is>
      </c>
    </row>
    <row r="9">
      <c r="B9" s="23" t="inlineStr">
        <is>
          <t>AÑO 4</t>
        </is>
      </c>
      <c r="C9" s="43" t="inlineStr">
        <is>
          <t>AÑO 4</t>
        </is>
      </c>
    </row>
    <row r="10">
      <c r="C10" s="53" t="inlineStr">
        <is>
          <t>Mes 1</t>
        </is>
      </c>
      <c r="D10" s="53" t="inlineStr">
        <is>
          <t>Mes 2</t>
        </is>
      </c>
      <c r="E10" s="53" t="inlineStr">
        <is>
          <t>Mes 3</t>
        </is>
      </c>
      <c r="F10" s="53" t="inlineStr">
        <is>
          <t>Mes 4</t>
        </is>
      </c>
      <c r="G10" s="53" t="inlineStr">
        <is>
          <t>Mes 5</t>
        </is>
      </c>
      <c r="H10" s="53" t="inlineStr">
        <is>
          <t>Mes 6</t>
        </is>
      </c>
      <c r="I10" s="53" t="inlineStr">
        <is>
          <t>Mes 7</t>
        </is>
      </c>
      <c r="J10" s="53" t="inlineStr">
        <is>
          <t>Mes 8</t>
        </is>
      </c>
      <c r="K10" s="53" t="inlineStr">
        <is>
          <t>Mes 9</t>
        </is>
      </c>
      <c r="L10" s="53" t="inlineStr">
        <is>
          <t>Mes 10</t>
        </is>
      </c>
      <c r="M10" s="53" t="inlineStr">
        <is>
          <t>Mes 11</t>
        </is>
      </c>
      <c r="N10" s="53" t="inlineStr">
        <is>
          <t>Mes 12</t>
        </is>
      </c>
      <c r="O10" s="53" t="inlineStr">
        <is>
          <t>TOTAL</t>
        </is>
      </c>
    </row>
    <row r="11">
      <c r="B11" s="55" t="inlineStr">
        <is>
          <t>Farmacias activas promedio mes [LARGO PLAZO]</t>
        </is>
      </c>
      <c r="C11" s="187" t="n">
        <v>442</v>
      </c>
      <c r="D11" s="187" t="n">
        <v>442</v>
      </c>
      <c r="E11" s="187" t="n">
        <v>442</v>
      </c>
      <c r="F11" s="187" t="n">
        <v>442</v>
      </c>
      <c r="G11" s="187" t="n">
        <v>442</v>
      </c>
      <c r="H11" s="187" t="n">
        <v>442</v>
      </c>
      <c r="I11" s="187" t="n">
        <v>442</v>
      </c>
      <c r="J11" s="187" t="n">
        <v>442</v>
      </c>
      <c r="K11" s="187" t="n">
        <v>442</v>
      </c>
      <c r="L11" s="187" t="n">
        <v>442</v>
      </c>
      <c r="M11" s="187" t="n">
        <v>442</v>
      </c>
      <c r="N11" s="187" t="n">
        <v>442</v>
      </c>
      <c r="O11" s="187">
        <f>N11</f>
        <v/>
      </c>
    </row>
    <row r="13">
      <c r="B13" s="52" t="inlineStr">
        <is>
          <t>Ingresos ($)</t>
        </is>
      </c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</row>
    <row r="14" ht="15" customHeight="1" s="44">
      <c r="B14" s="55" t="inlineStr">
        <is>
          <t xml:space="preserve">      Revenue plataforma</t>
        </is>
      </c>
      <c r="C14" s="187" t="n">
        <v>20000</v>
      </c>
      <c r="D14" s="187" t="n">
        <v>20000</v>
      </c>
      <c r="E14" s="187" t="n">
        <v>20000</v>
      </c>
      <c r="F14" s="187" t="n">
        <v>20000</v>
      </c>
      <c r="G14" s="187" t="n">
        <v>20000</v>
      </c>
      <c r="H14" s="187" t="n">
        <v>20000</v>
      </c>
      <c r="I14" s="187" t="n">
        <v>20000</v>
      </c>
      <c r="J14" s="187" t="n">
        <v>20000</v>
      </c>
      <c r="K14" s="187" t="n">
        <v>20000</v>
      </c>
      <c r="L14" s="187" t="n">
        <v>20000</v>
      </c>
      <c r="M14" s="187" t="n">
        <v>20000</v>
      </c>
      <c r="N14" s="187" t="n">
        <v>20000</v>
      </c>
      <c r="O14" s="187">
        <f>SUM(C14:N14)</f>
        <v/>
      </c>
    </row>
    <row r="15" ht="15" customHeight="1" s="44">
      <c r="B15" s="12" t="inlineStr">
        <is>
          <t>Total Ingresos</t>
        </is>
      </c>
      <c r="C15" s="189">
        <f>C14</f>
        <v/>
      </c>
      <c r="D15" s="189">
        <f>D14</f>
        <v/>
      </c>
      <c r="E15" s="189">
        <f>E14</f>
        <v/>
      </c>
      <c r="F15" s="189">
        <f>F14</f>
        <v/>
      </c>
      <c r="G15" s="189">
        <f>G14</f>
        <v/>
      </c>
      <c r="H15" s="189">
        <f>H14</f>
        <v/>
      </c>
      <c r="I15" s="189">
        <f>I14</f>
        <v/>
      </c>
      <c r="J15" s="189">
        <f>J14</f>
        <v/>
      </c>
      <c r="K15" s="189">
        <f>K14</f>
        <v/>
      </c>
      <c r="L15" s="189">
        <f>L14</f>
        <v/>
      </c>
      <c r="M15" s="189">
        <f>M14</f>
        <v/>
      </c>
      <c r="N15" s="189">
        <f>N14</f>
        <v/>
      </c>
      <c r="O15" s="189">
        <f>SUM(C15:N15)</f>
        <v/>
      </c>
    </row>
    <row r="17">
      <c r="B17" s="52" t="inlineStr">
        <is>
          <t>Costos ($)</t>
        </is>
      </c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</row>
    <row r="18">
      <c r="B18" s="55" t="inlineStr">
        <is>
          <t xml:space="preserve">      Equipo comercial + ops</t>
        </is>
      </c>
      <c r="C18" s="187" t="n">
        <v>3791.67</v>
      </c>
      <c r="D18" s="187" t="n">
        <v>3791.67</v>
      </c>
      <c r="E18" s="187" t="n">
        <v>3791.67</v>
      </c>
      <c r="F18" s="187" t="n">
        <v>3791.67</v>
      </c>
      <c r="G18" s="187" t="n">
        <v>3791.67</v>
      </c>
      <c r="H18" s="187" t="n">
        <v>3791.67</v>
      </c>
      <c r="I18" s="187" t="n">
        <v>3791.67</v>
      </c>
      <c r="J18" s="187" t="n">
        <v>3791.67</v>
      </c>
      <c r="K18" s="187" t="n">
        <v>3791.67</v>
      </c>
      <c r="L18" s="187" t="n">
        <v>3791.67</v>
      </c>
      <c r="M18" s="187" t="n">
        <v>3791.67</v>
      </c>
      <c r="N18" s="187" t="n">
        <v>3791.67</v>
      </c>
      <c r="O18" s="187">
        <f>SUM(C18:N18)</f>
        <v/>
      </c>
    </row>
    <row r="19">
      <c r="B19" s="55" t="inlineStr">
        <is>
          <t xml:space="preserve">      Marketing digital</t>
        </is>
      </c>
      <c r="C19" s="187" t="n">
        <v>1950</v>
      </c>
      <c r="D19" s="187" t="n">
        <v>1950</v>
      </c>
      <c r="E19" s="187" t="n">
        <v>1950</v>
      </c>
      <c r="F19" s="187" t="n">
        <v>1950</v>
      </c>
      <c r="G19" s="187" t="n">
        <v>1950</v>
      </c>
      <c r="H19" s="187" t="n">
        <v>1950</v>
      </c>
      <c r="I19" s="187" t="n">
        <v>1950</v>
      </c>
      <c r="J19" s="187" t="n">
        <v>1950</v>
      </c>
      <c r="K19" s="187" t="n">
        <v>1950</v>
      </c>
      <c r="L19" s="187" t="n">
        <v>1950</v>
      </c>
      <c r="M19" s="187" t="n">
        <v>1950</v>
      </c>
      <c r="N19" s="187" t="n">
        <v>1950</v>
      </c>
      <c r="O19" s="187">
        <f>SUM(C19:N19)</f>
        <v/>
      </c>
    </row>
    <row r="20">
      <c r="B20" s="55" t="inlineStr">
        <is>
          <t xml:space="preserve">      Hosting + SaaS</t>
        </is>
      </c>
      <c r="C20" s="187" t="n">
        <v>866.67</v>
      </c>
      <c r="D20" s="187" t="n">
        <v>866.67</v>
      </c>
      <c r="E20" s="187" t="n">
        <v>866.67</v>
      </c>
      <c r="F20" s="187" t="n">
        <v>866.67</v>
      </c>
      <c r="G20" s="187" t="n">
        <v>866.67</v>
      </c>
      <c r="H20" s="187" t="n">
        <v>866.67</v>
      </c>
      <c r="I20" s="187" t="n">
        <v>866.67</v>
      </c>
      <c r="J20" s="187" t="n">
        <v>866.67</v>
      </c>
      <c r="K20" s="187" t="n">
        <v>866.67</v>
      </c>
      <c r="L20" s="187" t="n">
        <v>866.67</v>
      </c>
      <c r="M20" s="187" t="n">
        <v>866.67</v>
      </c>
      <c r="N20" s="187" t="n">
        <v>866.67</v>
      </c>
      <c r="O20" s="187">
        <f>SUM(C20:N20)</f>
        <v/>
      </c>
    </row>
    <row r="21">
      <c r="B21" s="55" t="inlineStr">
        <is>
          <t xml:space="preserve">      Legal / contador</t>
        </is>
      </c>
      <c r="C21" s="187" t="n">
        <v>758.33</v>
      </c>
      <c r="D21" s="187" t="n">
        <v>758.33</v>
      </c>
      <c r="E21" s="187" t="n">
        <v>758.33</v>
      </c>
      <c r="F21" s="187" t="n">
        <v>758.33</v>
      </c>
      <c r="G21" s="187" t="n">
        <v>758.33</v>
      </c>
      <c r="H21" s="187" t="n">
        <v>758.33</v>
      </c>
      <c r="I21" s="187" t="n">
        <v>758.33</v>
      </c>
      <c r="J21" s="187" t="n">
        <v>758.33</v>
      </c>
      <c r="K21" s="187" t="n">
        <v>758.33</v>
      </c>
      <c r="L21" s="187" t="n">
        <v>758.33</v>
      </c>
      <c r="M21" s="187" t="n">
        <v>758.33</v>
      </c>
      <c r="N21" s="187" t="n">
        <v>758.33</v>
      </c>
      <c r="O21" s="187">
        <f>SUM(C21:N21)</f>
        <v/>
      </c>
    </row>
    <row r="22">
      <c r="B22" s="55" t="inlineStr">
        <is>
          <t xml:space="preserve">      HQ + servicios</t>
        </is>
      </c>
      <c r="C22" s="187" t="n">
        <v>1300</v>
      </c>
      <c r="D22" s="187" t="n">
        <v>1300</v>
      </c>
      <c r="E22" s="187" t="n">
        <v>1300</v>
      </c>
      <c r="F22" s="187" t="n">
        <v>1300</v>
      </c>
      <c r="G22" s="187" t="n">
        <v>1300</v>
      </c>
      <c r="H22" s="187" t="n">
        <v>1300</v>
      </c>
      <c r="I22" s="187" t="n">
        <v>1300</v>
      </c>
      <c r="J22" s="187" t="n">
        <v>1300</v>
      </c>
      <c r="K22" s="187" t="n">
        <v>1300</v>
      </c>
      <c r="L22" s="187" t="n">
        <v>1300</v>
      </c>
      <c r="M22" s="187" t="n">
        <v>1300</v>
      </c>
      <c r="N22" s="187" t="n">
        <v>1300</v>
      </c>
      <c r="O22" s="187">
        <f>SUM(C22:N22)</f>
        <v/>
      </c>
    </row>
    <row r="23" ht="15" customHeight="1" s="44">
      <c r="B23" s="55" t="inlineStr">
        <is>
          <t xml:space="preserve">      Imprevistos / buffer</t>
        </is>
      </c>
      <c r="C23" s="187" t="n">
        <v>2166.67</v>
      </c>
      <c r="D23" s="187" t="n">
        <v>2166.67</v>
      </c>
      <c r="E23" s="187" t="n">
        <v>2166.67</v>
      </c>
      <c r="F23" s="187" t="n">
        <v>2166.67</v>
      </c>
      <c r="G23" s="187" t="n">
        <v>2166.67</v>
      </c>
      <c r="H23" s="187" t="n">
        <v>2166.67</v>
      </c>
      <c r="I23" s="187" t="n">
        <v>2166.67</v>
      </c>
      <c r="J23" s="187" t="n">
        <v>2166.67</v>
      </c>
      <c r="K23" s="187" t="n">
        <v>2166.67</v>
      </c>
      <c r="L23" s="187" t="n">
        <v>2166.67</v>
      </c>
      <c r="M23" s="187" t="n">
        <v>2166.67</v>
      </c>
      <c r="N23" s="187" t="n">
        <v>2166.67</v>
      </c>
      <c r="O23" s="187">
        <f>SUM(C23:N23)</f>
        <v/>
      </c>
    </row>
    <row r="24" ht="15" customHeight="1" s="44">
      <c r="B24" s="12" t="inlineStr">
        <is>
          <t>Total Costos</t>
        </is>
      </c>
      <c r="C24" s="189" t="n"/>
      <c r="D24" s="189" t="n"/>
      <c r="E24" s="189" t="n"/>
      <c r="F24" s="189" t="n"/>
      <c r="G24" s="189" t="n"/>
      <c r="H24" s="189" t="n"/>
      <c r="I24" s="189" t="n"/>
      <c r="J24" s="189" t="n"/>
      <c r="K24" s="189" t="n"/>
      <c r="L24" s="189" t="n"/>
      <c r="M24" s="189" t="n"/>
      <c r="N24" s="189" t="n"/>
      <c r="O24" s="189">
        <f>SUM(C18:N23)</f>
        <v/>
      </c>
    </row>
    <row r="25" ht="15" customHeight="1" s="44"/>
    <row r="26" ht="15" customHeight="1" s="44">
      <c r="B26" s="12" t="inlineStr">
        <is>
          <t>FCF</t>
        </is>
      </c>
      <c r="C26" s="189">
        <f>C15-C24</f>
        <v/>
      </c>
      <c r="D26" s="189">
        <f>D15-D24</f>
        <v/>
      </c>
      <c r="E26" s="189">
        <f>E15-E24</f>
        <v/>
      </c>
      <c r="F26" s="189">
        <f>F15-F24</f>
        <v/>
      </c>
      <c r="G26" s="189">
        <f>G15-G24</f>
        <v/>
      </c>
      <c r="H26" s="189">
        <f>H15-H24</f>
        <v/>
      </c>
      <c r="I26" s="189">
        <f>I15-I24</f>
        <v/>
      </c>
      <c r="J26" s="189">
        <f>J15-J24</f>
        <v/>
      </c>
      <c r="K26" s="189">
        <f>K15-K24</f>
        <v/>
      </c>
      <c r="L26" s="189">
        <f>L15-L24</f>
        <v/>
      </c>
      <c r="M26" s="189">
        <f>M15-M24</f>
        <v/>
      </c>
      <c r="N26" s="189">
        <f>N15-N24</f>
        <v/>
      </c>
      <c r="O26" s="189">
        <f>SUM(C26:N26)</f>
        <v/>
      </c>
    </row>
    <row r="27">
      <c r="B27" s="55" t="inlineStr">
        <is>
          <t>FCF acumulado</t>
        </is>
      </c>
      <c r="C27" s="187">
        <f>C26</f>
        <v/>
      </c>
      <c r="D27" s="187">
        <f>C27+D26</f>
        <v/>
      </c>
      <c r="E27" s="187">
        <f>D27+E26</f>
        <v/>
      </c>
      <c r="F27" s="187">
        <f>E27+F26</f>
        <v/>
      </c>
      <c r="G27" s="187">
        <f>F27+G26</f>
        <v/>
      </c>
      <c r="H27" s="187">
        <f>G27+H26</f>
        <v/>
      </c>
      <c r="I27" s="187">
        <f>H27+I26</f>
        <v/>
      </c>
      <c r="J27" s="187">
        <f>I27+J26</f>
        <v/>
      </c>
      <c r="K27" s="187">
        <f>J27+K26</f>
        <v/>
      </c>
      <c r="L27" s="187">
        <f>K27+L26</f>
        <v/>
      </c>
      <c r="M27" s="187">
        <f>L27+M26</f>
        <v/>
      </c>
      <c r="N27" s="187">
        <f>M27+N26</f>
        <v/>
      </c>
      <c r="O27" s="187">
        <f>N27</f>
        <v/>
      </c>
    </row>
    <row r="28">
      <c r="B28" s="55" t="inlineStr">
        <is>
          <t>CCF (inversor SAFE 18,66%)</t>
        </is>
      </c>
      <c r="C28" s="187">
        <f>C26*$C$6</f>
        <v/>
      </c>
      <c r="D28" s="187">
        <f>D26*$C$6</f>
        <v/>
      </c>
      <c r="E28" s="187">
        <f>E26*$C$6</f>
        <v/>
      </c>
      <c r="F28" s="187">
        <f>F26*$C$6</f>
        <v/>
      </c>
      <c r="G28" s="187">
        <f>G26*$C$6</f>
        <v/>
      </c>
      <c r="H28" s="187">
        <f>H26*$C$6</f>
        <v/>
      </c>
      <c r="I28" s="187">
        <f>I26*$C$6</f>
        <v/>
      </c>
      <c r="J28" s="187">
        <f>J26*$C$6</f>
        <v/>
      </c>
      <c r="K28" s="187">
        <f>K26*$C$6</f>
        <v/>
      </c>
      <c r="L28" s="187">
        <f>L26*$C$6</f>
        <v/>
      </c>
      <c r="M28" s="187">
        <f>M26*$C$6</f>
        <v/>
      </c>
      <c r="N28" s="187">
        <f>N26*$C$6</f>
        <v/>
      </c>
    </row>
    <row r="29">
      <c r="B29" s="55" t="inlineStr">
        <is>
          <t>ECF (founders 81,34%)</t>
        </is>
      </c>
      <c r="C29" s="187">
        <f>C26-C28</f>
        <v/>
      </c>
      <c r="D29" s="187">
        <f>D26-D28</f>
        <v/>
      </c>
      <c r="E29" s="187">
        <f>E26-E28</f>
        <v/>
      </c>
      <c r="F29" s="187">
        <f>F26-F28</f>
        <v/>
      </c>
      <c r="G29" s="187">
        <f>G26-G28</f>
        <v/>
      </c>
      <c r="H29" s="187">
        <f>H26-H28</f>
        <v/>
      </c>
      <c r="I29" s="187">
        <f>I26-I28</f>
        <v/>
      </c>
      <c r="J29" s="187">
        <f>J26-J28</f>
        <v/>
      </c>
      <c r="K29" s="187">
        <f>K26-K28</f>
        <v/>
      </c>
      <c r="L29" s="187">
        <f>L26-L28</f>
        <v/>
      </c>
      <c r="M29" s="187">
        <f>M26-M28</f>
        <v/>
      </c>
      <c r="N29" s="187">
        <f>N26-N28</f>
        <v/>
      </c>
    </row>
  </sheetData>
  <mergeCells count="1">
    <mergeCell ref="C9:N9"/>
  </mergeCells>
  <pageMargins left="0.75" right="0.75" top="1" bottom="1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29"/>
  <sheetViews>
    <sheetView zoomScale="95" zoomScaleNormal="95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6640625" defaultRowHeight="14.4"/>
  <cols>
    <col width="1" customWidth="1" style="44" min="1" max="1"/>
    <col width="42.88671875" customWidth="1" style="44" min="2" max="2"/>
    <col width="18.88671875" customWidth="1" style="44" min="3" max="3"/>
    <col width="11" customWidth="1" style="44" min="4" max="14"/>
    <col width="11.5546875" customWidth="1" style="44" min="15" max="15"/>
  </cols>
  <sheetData>
    <row r="2">
      <c r="B2" s="16" t="inlineStr">
        <is>
          <t>ITEMS</t>
        </is>
      </c>
      <c r="C2" s="16" t="inlineStr">
        <is>
          <t>DATOS</t>
        </is>
      </c>
    </row>
    <row r="3">
      <c r="B3" s="17" t="inlineStr">
        <is>
          <t>Farmacias activas cierre (ref.)</t>
        </is>
      </c>
      <c r="C3" s="206">
        <f>'Año 4'!N11</f>
        <v/>
      </c>
    </row>
    <row r="4">
      <c r="B4" s="19" t="inlineStr">
        <is>
          <t>Revenue anual USD [LARGO PLAZO]</t>
        </is>
      </c>
      <c r="C4" s="207" t="n">
        <v>300000</v>
      </c>
    </row>
    <row r="5">
      <c r="B5" s="17" t="inlineStr">
        <is>
          <t>Costos anual USD [LARGO PLAZO]</t>
        </is>
      </c>
      <c r="C5" s="206" t="n">
        <v>150000</v>
      </c>
    </row>
    <row r="6">
      <c r="B6" s="19" t="inlineStr">
        <is>
          <t>Participación Inversor SAFE</t>
        </is>
      </c>
      <c r="C6" s="210" t="n">
        <v>0.1866</v>
      </c>
    </row>
    <row r="7">
      <c r="B7" s="17" t="inlineStr">
        <is>
          <t>Participación Founders</t>
        </is>
      </c>
      <c r="C7" s="211">
        <f>1-C6</f>
        <v/>
      </c>
    </row>
    <row r="8">
      <c r="B8" s="19" t="inlineStr">
        <is>
          <t>Etiqueta</t>
        </is>
      </c>
      <c r="C8" s="19" t="inlineStr">
        <is>
          <t>SUPUESTO MODELO</t>
        </is>
      </c>
    </row>
    <row r="9">
      <c r="B9" s="23" t="inlineStr">
        <is>
          <t>AÑO 5</t>
        </is>
      </c>
      <c r="C9" s="43" t="inlineStr">
        <is>
          <t>AÑO 5</t>
        </is>
      </c>
    </row>
    <row r="10">
      <c r="C10" s="53" t="inlineStr">
        <is>
          <t>Mes 1</t>
        </is>
      </c>
      <c r="D10" s="53" t="inlineStr">
        <is>
          <t>Mes 2</t>
        </is>
      </c>
      <c r="E10" s="53" t="inlineStr">
        <is>
          <t>Mes 3</t>
        </is>
      </c>
      <c r="F10" s="53" t="inlineStr">
        <is>
          <t>Mes 4</t>
        </is>
      </c>
      <c r="G10" s="53" t="inlineStr">
        <is>
          <t>Mes 5</t>
        </is>
      </c>
      <c r="H10" s="53" t="inlineStr">
        <is>
          <t>Mes 6</t>
        </is>
      </c>
      <c r="I10" s="53" t="inlineStr">
        <is>
          <t>Mes 7</t>
        </is>
      </c>
      <c r="J10" s="53" t="inlineStr">
        <is>
          <t>Mes 8</t>
        </is>
      </c>
      <c r="K10" s="53" t="inlineStr">
        <is>
          <t>Mes 9</t>
        </is>
      </c>
      <c r="L10" s="53" t="inlineStr">
        <is>
          <t>Mes 10</t>
        </is>
      </c>
      <c r="M10" s="53" t="inlineStr">
        <is>
          <t>Mes 11</t>
        </is>
      </c>
      <c r="N10" s="53" t="inlineStr">
        <is>
          <t>Mes 12</t>
        </is>
      </c>
      <c r="O10" s="53" t="inlineStr">
        <is>
          <t>TOTAL</t>
        </is>
      </c>
    </row>
    <row r="11">
      <c r="B11" s="55" t="inlineStr">
        <is>
          <t>Farmacias activas promedio mes [LARGO PLAZO]</t>
        </is>
      </c>
      <c r="C11" s="187" t="n">
        <v>510</v>
      </c>
      <c r="D11" s="187" t="n">
        <v>510</v>
      </c>
      <c r="E11" s="187" t="n">
        <v>510</v>
      </c>
      <c r="F11" s="187" t="n">
        <v>510</v>
      </c>
      <c r="G11" s="187" t="n">
        <v>510</v>
      </c>
      <c r="H11" s="187" t="n">
        <v>510</v>
      </c>
      <c r="I11" s="187" t="n">
        <v>510</v>
      </c>
      <c r="J11" s="187" t="n">
        <v>510</v>
      </c>
      <c r="K11" s="187" t="n">
        <v>510</v>
      </c>
      <c r="L11" s="187" t="n">
        <v>510</v>
      </c>
      <c r="M11" s="187" t="n">
        <v>510</v>
      </c>
      <c r="N11" s="187" t="n">
        <v>510</v>
      </c>
      <c r="O11" s="187">
        <f>N11</f>
        <v/>
      </c>
    </row>
    <row r="13">
      <c r="B13" s="52" t="inlineStr">
        <is>
          <t>Ingresos ($)</t>
        </is>
      </c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</row>
    <row r="14" ht="15" customHeight="1" s="44">
      <c r="B14" s="55" t="inlineStr">
        <is>
          <t xml:space="preserve">      Revenue plataforma</t>
        </is>
      </c>
      <c r="C14" s="187" t="n">
        <v>25000</v>
      </c>
      <c r="D14" s="187" t="n">
        <v>25000</v>
      </c>
      <c r="E14" s="187" t="n">
        <v>25000</v>
      </c>
      <c r="F14" s="187" t="n">
        <v>25000</v>
      </c>
      <c r="G14" s="187" t="n">
        <v>25000</v>
      </c>
      <c r="H14" s="187" t="n">
        <v>25000</v>
      </c>
      <c r="I14" s="187" t="n">
        <v>25000</v>
      </c>
      <c r="J14" s="187" t="n">
        <v>25000</v>
      </c>
      <c r="K14" s="187" t="n">
        <v>25000</v>
      </c>
      <c r="L14" s="187" t="n">
        <v>25000</v>
      </c>
      <c r="M14" s="187" t="n">
        <v>25000</v>
      </c>
      <c r="N14" s="187" t="n">
        <v>25000</v>
      </c>
      <c r="O14" s="187">
        <f>SUM(C14:N14)</f>
        <v/>
      </c>
    </row>
    <row r="15" ht="15" customHeight="1" s="44">
      <c r="B15" s="12" t="inlineStr">
        <is>
          <t>Total Ingresos</t>
        </is>
      </c>
      <c r="C15" s="189">
        <f>C14</f>
        <v/>
      </c>
      <c r="D15" s="189">
        <f>D14</f>
        <v/>
      </c>
      <c r="E15" s="189">
        <f>E14</f>
        <v/>
      </c>
      <c r="F15" s="189">
        <f>F14</f>
        <v/>
      </c>
      <c r="G15" s="189">
        <f>G14</f>
        <v/>
      </c>
      <c r="H15" s="189">
        <f>H14</f>
        <v/>
      </c>
      <c r="I15" s="189">
        <f>I14</f>
        <v/>
      </c>
      <c r="J15" s="189">
        <f>J14</f>
        <v/>
      </c>
      <c r="K15" s="189">
        <f>K14</f>
        <v/>
      </c>
      <c r="L15" s="189">
        <f>L14</f>
        <v/>
      </c>
      <c r="M15" s="189">
        <f>M14</f>
        <v/>
      </c>
      <c r="N15" s="189">
        <f>N14</f>
        <v/>
      </c>
      <c r="O15" s="189">
        <f>SUM(C15:N15)</f>
        <v/>
      </c>
    </row>
    <row r="17">
      <c r="B17" s="52" t="inlineStr">
        <is>
          <t>Costos ($)</t>
        </is>
      </c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</row>
    <row r="18">
      <c r="B18" s="55" t="inlineStr">
        <is>
          <t xml:space="preserve">      Equipo comercial + ops</t>
        </is>
      </c>
      <c r="C18" s="187" t="n">
        <v>4375</v>
      </c>
      <c r="D18" s="187" t="n">
        <v>4375</v>
      </c>
      <c r="E18" s="187" t="n">
        <v>4375</v>
      </c>
      <c r="F18" s="187" t="n">
        <v>4375</v>
      </c>
      <c r="G18" s="187" t="n">
        <v>4375</v>
      </c>
      <c r="H18" s="187" t="n">
        <v>4375</v>
      </c>
      <c r="I18" s="187" t="n">
        <v>4375</v>
      </c>
      <c r="J18" s="187" t="n">
        <v>4375</v>
      </c>
      <c r="K18" s="187" t="n">
        <v>4375</v>
      </c>
      <c r="L18" s="187" t="n">
        <v>4375</v>
      </c>
      <c r="M18" s="187" t="n">
        <v>4375</v>
      </c>
      <c r="N18" s="187" t="n">
        <v>4375</v>
      </c>
      <c r="O18" s="187">
        <f>SUM(C18:N18)</f>
        <v/>
      </c>
    </row>
    <row r="19">
      <c r="B19" s="55" t="inlineStr">
        <is>
          <t xml:space="preserve">      Marketing digital</t>
        </is>
      </c>
      <c r="C19" s="187" t="n">
        <v>2250</v>
      </c>
      <c r="D19" s="187" t="n">
        <v>2250</v>
      </c>
      <c r="E19" s="187" t="n">
        <v>2250</v>
      </c>
      <c r="F19" s="187" t="n">
        <v>2250</v>
      </c>
      <c r="G19" s="187" t="n">
        <v>2250</v>
      </c>
      <c r="H19" s="187" t="n">
        <v>2250</v>
      </c>
      <c r="I19" s="187" t="n">
        <v>2250</v>
      </c>
      <c r="J19" s="187" t="n">
        <v>2250</v>
      </c>
      <c r="K19" s="187" t="n">
        <v>2250</v>
      </c>
      <c r="L19" s="187" t="n">
        <v>2250</v>
      </c>
      <c r="M19" s="187" t="n">
        <v>2250</v>
      </c>
      <c r="N19" s="187" t="n">
        <v>2250</v>
      </c>
      <c r="O19" s="187">
        <f>SUM(C19:N19)</f>
        <v/>
      </c>
    </row>
    <row r="20">
      <c r="B20" s="55" t="inlineStr">
        <is>
          <t xml:space="preserve">      Hosting + SaaS</t>
        </is>
      </c>
      <c r="C20" s="187" t="n">
        <v>1000</v>
      </c>
      <c r="D20" s="187" t="n">
        <v>1000</v>
      </c>
      <c r="E20" s="187" t="n">
        <v>1000</v>
      </c>
      <c r="F20" s="187" t="n">
        <v>1000</v>
      </c>
      <c r="G20" s="187" t="n">
        <v>1000</v>
      </c>
      <c r="H20" s="187" t="n">
        <v>1000</v>
      </c>
      <c r="I20" s="187" t="n">
        <v>1000</v>
      </c>
      <c r="J20" s="187" t="n">
        <v>1000</v>
      </c>
      <c r="K20" s="187" t="n">
        <v>1000</v>
      </c>
      <c r="L20" s="187" t="n">
        <v>1000</v>
      </c>
      <c r="M20" s="187" t="n">
        <v>1000</v>
      </c>
      <c r="N20" s="187" t="n">
        <v>1000</v>
      </c>
      <c r="O20" s="187">
        <f>SUM(C20:N20)</f>
        <v/>
      </c>
    </row>
    <row r="21">
      <c r="B21" s="55" t="inlineStr">
        <is>
          <t xml:space="preserve">      Legal / contador</t>
        </is>
      </c>
      <c r="C21" s="187" t="n">
        <v>875</v>
      </c>
      <c r="D21" s="187" t="n">
        <v>875</v>
      </c>
      <c r="E21" s="187" t="n">
        <v>875</v>
      </c>
      <c r="F21" s="187" t="n">
        <v>875</v>
      </c>
      <c r="G21" s="187" t="n">
        <v>875</v>
      </c>
      <c r="H21" s="187" t="n">
        <v>875</v>
      </c>
      <c r="I21" s="187" t="n">
        <v>875</v>
      </c>
      <c r="J21" s="187" t="n">
        <v>875</v>
      </c>
      <c r="K21" s="187" t="n">
        <v>875</v>
      </c>
      <c r="L21" s="187" t="n">
        <v>875</v>
      </c>
      <c r="M21" s="187" t="n">
        <v>875</v>
      </c>
      <c r="N21" s="187" t="n">
        <v>875</v>
      </c>
      <c r="O21" s="187">
        <f>SUM(C21:N21)</f>
        <v/>
      </c>
    </row>
    <row r="22">
      <c r="B22" s="55" t="inlineStr">
        <is>
          <t xml:space="preserve">      HQ + servicios</t>
        </is>
      </c>
      <c r="C22" s="187" t="n">
        <v>1500</v>
      </c>
      <c r="D22" s="187" t="n">
        <v>1500</v>
      </c>
      <c r="E22" s="187" t="n">
        <v>1500</v>
      </c>
      <c r="F22" s="187" t="n">
        <v>1500</v>
      </c>
      <c r="G22" s="187" t="n">
        <v>1500</v>
      </c>
      <c r="H22" s="187" t="n">
        <v>1500</v>
      </c>
      <c r="I22" s="187" t="n">
        <v>1500</v>
      </c>
      <c r="J22" s="187" t="n">
        <v>1500</v>
      </c>
      <c r="K22" s="187" t="n">
        <v>1500</v>
      </c>
      <c r="L22" s="187" t="n">
        <v>1500</v>
      </c>
      <c r="M22" s="187" t="n">
        <v>1500</v>
      </c>
      <c r="N22" s="187" t="n">
        <v>1500</v>
      </c>
      <c r="O22" s="187">
        <f>SUM(C22:N22)</f>
        <v/>
      </c>
    </row>
    <row r="23" ht="15" customHeight="1" s="44">
      <c r="B23" s="55" t="inlineStr">
        <is>
          <t xml:space="preserve">      Imprevistos / buffer</t>
        </is>
      </c>
      <c r="C23" s="187" t="n">
        <v>2500</v>
      </c>
      <c r="D23" s="187" t="n">
        <v>2500</v>
      </c>
      <c r="E23" s="187" t="n">
        <v>2500</v>
      </c>
      <c r="F23" s="187" t="n">
        <v>2500</v>
      </c>
      <c r="G23" s="187" t="n">
        <v>2500</v>
      </c>
      <c r="H23" s="187" t="n">
        <v>2500</v>
      </c>
      <c r="I23" s="187" t="n">
        <v>2500</v>
      </c>
      <c r="J23" s="187" t="n">
        <v>2500</v>
      </c>
      <c r="K23" s="187" t="n">
        <v>2500</v>
      </c>
      <c r="L23" s="187" t="n">
        <v>2500</v>
      </c>
      <c r="M23" s="187" t="n">
        <v>2500</v>
      </c>
      <c r="N23" s="187" t="n">
        <v>2500</v>
      </c>
      <c r="O23" s="187">
        <f>SUM(C23:N23)</f>
        <v/>
      </c>
    </row>
    <row r="24" ht="15" customHeight="1" s="44">
      <c r="B24" s="12" t="inlineStr">
        <is>
          <t>Total Costos</t>
        </is>
      </c>
      <c r="C24" s="189" t="n"/>
      <c r="D24" s="189" t="n"/>
      <c r="E24" s="189" t="n"/>
      <c r="F24" s="189" t="n"/>
      <c r="G24" s="189" t="n"/>
      <c r="H24" s="189" t="n"/>
      <c r="I24" s="189" t="n"/>
      <c r="J24" s="189" t="n"/>
      <c r="K24" s="189" t="n"/>
      <c r="L24" s="189" t="n"/>
      <c r="M24" s="189" t="n"/>
      <c r="N24" s="189" t="n"/>
      <c r="O24" s="189">
        <f>SUM(C18:N23)</f>
        <v/>
      </c>
    </row>
    <row r="25" ht="15" customHeight="1" s="44"/>
    <row r="26" ht="15" customHeight="1" s="44">
      <c r="B26" s="12" t="inlineStr">
        <is>
          <t>FCF</t>
        </is>
      </c>
      <c r="C26" s="189">
        <f>C15-C24</f>
        <v/>
      </c>
      <c r="D26" s="189">
        <f>D15-D24</f>
        <v/>
      </c>
      <c r="E26" s="189">
        <f>E15-E24</f>
        <v/>
      </c>
      <c r="F26" s="189">
        <f>F15-F24</f>
        <v/>
      </c>
      <c r="G26" s="189">
        <f>G15-G24</f>
        <v/>
      </c>
      <c r="H26" s="189">
        <f>H15-H24</f>
        <v/>
      </c>
      <c r="I26" s="189">
        <f>I15-I24</f>
        <v/>
      </c>
      <c r="J26" s="189">
        <f>J15-J24</f>
        <v/>
      </c>
      <c r="K26" s="189">
        <f>K15-K24</f>
        <v/>
      </c>
      <c r="L26" s="189">
        <f>L15-L24</f>
        <v/>
      </c>
      <c r="M26" s="189">
        <f>M15-M24</f>
        <v/>
      </c>
      <c r="N26" s="189">
        <f>N15-N24</f>
        <v/>
      </c>
      <c r="O26" s="189">
        <f>SUM(C26:N26)</f>
        <v/>
      </c>
    </row>
    <row r="27">
      <c r="B27" s="55" t="inlineStr">
        <is>
          <t>FCF acumulado</t>
        </is>
      </c>
      <c r="C27" s="187">
        <f>C26</f>
        <v/>
      </c>
      <c r="D27" s="187">
        <f>C27+D26</f>
        <v/>
      </c>
      <c r="E27" s="187">
        <f>D27+E26</f>
        <v/>
      </c>
      <c r="F27" s="187">
        <f>E27+F26</f>
        <v/>
      </c>
      <c r="G27" s="187">
        <f>F27+G26</f>
        <v/>
      </c>
      <c r="H27" s="187">
        <f>G27+H26</f>
        <v/>
      </c>
      <c r="I27" s="187">
        <f>H27+I26</f>
        <v/>
      </c>
      <c r="J27" s="187">
        <f>I27+J26</f>
        <v/>
      </c>
      <c r="K27" s="187">
        <f>J27+K26</f>
        <v/>
      </c>
      <c r="L27" s="187">
        <f>K27+L26</f>
        <v/>
      </c>
      <c r="M27" s="187">
        <f>L27+M26</f>
        <v/>
      </c>
      <c r="N27" s="187">
        <f>M27+N26</f>
        <v/>
      </c>
      <c r="O27" s="187">
        <f>N27</f>
        <v/>
      </c>
    </row>
    <row r="28">
      <c r="B28" s="55" t="inlineStr">
        <is>
          <t>CCF (inversor SAFE 18,66%)</t>
        </is>
      </c>
      <c r="C28" s="187">
        <f>C26*$C$6</f>
        <v/>
      </c>
      <c r="D28" s="187">
        <f>D26*$C$6</f>
        <v/>
      </c>
      <c r="E28" s="187">
        <f>E26*$C$6</f>
        <v/>
      </c>
      <c r="F28" s="187">
        <f>F26*$C$6</f>
        <v/>
      </c>
      <c r="G28" s="187">
        <f>G26*$C$6</f>
        <v/>
      </c>
      <c r="H28" s="187">
        <f>H26*$C$6</f>
        <v/>
      </c>
      <c r="I28" s="187">
        <f>I26*$C$6</f>
        <v/>
      </c>
      <c r="J28" s="187">
        <f>J26*$C$6</f>
        <v/>
      </c>
      <c r="K28" s="187">
        <f>K26*$C$6</f>
        <v/>
      </c>
      <c r="L28" s="187">
        <f>L26*$C$6</f>
        <v/>
      </c>
      <c r="M28" s="187">
        <f>M26*$C$6</f>
        <v/>
      </c>
      <c r="N28" s="187">
        <f>N26*$C$6</f>
        <v/>
      </c>
    </row>
    <row r="29">
      <c r="B29" s="55" t="inlineStr">
        <is>
          <t>ECF (founders 81,34%)</t>
        </is>
      </c>
      <c r="C29" s="187">
        <f>C26-C28</f>
        <v/>
      </c>
      <c r="D29" s="187">
        <f>D26-D28</f>
        <v/>
      </c>
      <c r="E29" s="187">
        <f>E26-E28</f>
        <v/>
      </c>
      <c r="F29" s="187">
        <f>F26-F28</f>
        <v/>
      </c>
      <c r="G29" s="187">
        <f>G26-G28</f>
        <v/>
      </c>
      <c r="H29" s="187">
        <f>H26-H28</f>
        <v/>
      </c>
      <c r="I29" s="187">
        <f>I26-I28</f>
        <v/>
      </c>
      <c r="J29" s="187">
        <f>J26-J28</f>
        <v/>
      </c>
      <c r="K29" s="187">
        <f>K26-K28</f>
        <v/>
      </c>
      <c r="L29" s="187">
        <f>L26-L28</f>
        <v/>
      </c>
      <c r="M29" s="187">
        <f>M26-M28</f>
        <v/>
      </c>
      <c r="N29" s="187">
        <f>N26-N28</f>
        <v/>
      </c>
    </row>
  </sheetData>
  <mergeCells count="1">
    <mergeCell ref="C9:N9"/>
  </mergeCells>
  <pageMargins left="0.75" right="0.75" top="1" bottom="1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0"/>
  <sheetViews>
    <sheetView topLeftCell="A25" zoomScale="95" zoomScaleNormal="95" workbookViewId="0">
      <selection activeCell="A1" sqref="A1"/>
    </sheetView>
  </sheetViews>
  <sheetFormatPr baseColWidth="10" defaultColWidth="8.6640625" defaultRowHeight="14.4"/>
  <cols>
    <col width="2.21875" customWidth="1" style="44" min="1" max="1"/>
    <col width="46" customWidth="1" style="44" min="2" max="2"/>
    <col width="42.88671875" customWidth="1" style="44" min="3" max="3"/>
    <col width="13" customWidth="1" style="44" min="4" max="7"/>
    <col width="12.109375" customWidth="1" style="44" min="8" max="8"/>
    <col width="11.5546875" customWidth="1" style="44" min="9" max="9"/>
    <col width="25.6640625" customWidth="1" style="44" min="10" max="10"/>
  </cols>
  <sheetData>
    <row r="1"/>
    <row r="2" ht="29.1" customHeight="1" s="44">
      <c r="B2" s="45" t="inlineStr">
        <is>
          <t>PREMISAS DEL PROYECTO E INDICADORES — Zonix Pharma</t>
        </is>
      </c>
    </row>
    <row r="3"/>
    <row r="4">
      <c r="B4" s="53" t="inlineStr">
        <is>
          <t>ITEMS</t>
        </is>
      </c>
      <c r="C4" s="53" t="inlineStr">
        <is>
          <t>DATOS</t>
        </is>
      </c>
    </row>
    <row r="5">
      <c r="B5" s="6" t="inlineStr">
        <is>
          <t>ARPF placeholder USD/mes</t>
        </is>
      </c>
      <c r="C5" s="212" t="n">
        <v>52</v>
      </c>
    </row>
    <row r="6">
      <c r="B6" s="8" t="inlineStr">
        <is>
          <t>Participación Inversor SAFE</t>
        </is>
      </c>
      <c r="C6" s="213" t="n">
        <v>0.3957</v>
      </c>
    </row>
    <row r="7">
      <c r="B7" s="6" t="inlineStr">
        <is>
          <t>Participación Founders</t>
        </is>
      </c>
      <c r="C7" s="214">
        <f>1-C6</f>
        <v/>
      </c>
    </row>
    <row r="8">
      <c r="B8" s="8" t="inlineStr">
        <is>
          <t>Tasa Descuento</t>
        </is>
      </c>
      <c r="C8" s="213" t="n">
        <v>0.25</v>
      </c>
    </row>
    <row r="9">
      <c r="B9" s="6" t="inlineStr">
        <is>
          <t>Inversión Inicial (wire T+0)</t>
        </is>
      </c>
      <c r="C9" s="212" t="n">
        <v>-237412</v>
      </c>
    </row>
    <row r="10">
      <c r="B10" s="8" t="inlineStr">
        <is>
          <t>SAFE post-money cap Lean</t>
        </is>
      </c>
      <c r="C10" s="215" t="n">
        <v>600000</v>
      </c>
    </row>
    <row r="11">
      <c r="B11" s="6" t="inlineStr">
        <is>
          <t>Nota reparto</t>
        </is>
      </c>
      <c r="C11" s="6" t="inlineStr">
        <is>
          <t>Ilustrativo — no sustituye term sheet SAFE</t>
        </is>
      </c>
    </row>
    <row r="12"/>
    <row r="13"/>
    <row r="14"/>
    <row r="15"/>
    <row r="16">
      <c r="B16" s="53" t="inlineStr">
        <is>
          <t>Concepto</t>
        </is>
      </c>
      <c r="C16" s="53" t="n"/>
      <c r="D16" s="1" t="inlineStr">
        <is>
          <t>Año 1</t>
        </is>
      </c>
      <c r="E16" s="1" t="inlineStr">
        <is>
          <t>Año 2</t>
        </is>
      </c>
      <c r="F16" s="1" t="inlineStr">
        <is>
          <t>Año 3</t>
        </is>
      </c>
      <c r="G16" s="1" t="inlineStr">
        <is>
          <t>Año 4</t>
        </is>
      </c>
      <c r="H16" s="1" t="inlineStr">
        <is>
          <t>Año 5</t>
        </is>
      </c>
      <c r="I16" s="15" t="inlineStr">
        <is>
          <t>TOTAL</t>
        </is>
      </c>
    </row>
    <row r="17">
      <c r="B17" s="55" t="inlineStr">
        <is>
          <t>Farmacias activas cierre</t>
        </is>
      </c>
      <c r="D17" s="187">
        <f>'Año 1 escenario 1'!N19</f>
        <v/>
      </c>
      <c r="E17" s="187">
        <f>'Año 2'!N11</f>
        <v/>
      </c>
      <c r="F17" s="187">
        <f>'Año 3'!N11</f>
        <v/>
      </c>
      <c r="G17" s="187">
        <f>'Año 4'!N11</f>
        <v/>
      </c>
      <c r="H17" s="187">
        <f>'Año 5'!N11</f>
        <v/>
      </c>
    </row>
    <row r="18">
      <c r="B18" s="55" t="inlineStr">
        <is>
          <t>Total Ingresos anual</t>
        </is>
      </c>
      <c r="D18" s="187">
        <f>'Año 1 escenario 1'!O25</f>
        <v/>
      </c>
      <c r="E18" s="187">
        <f>'Año 2'!O15</f>
        <v/>
      </c>
      <c r="F18" s="187">
        <f>'Año 3'!O15</f>
        <v/>
      </c>
      <c r="G18" s="187">
        <f>'Año 4'!O15</f>
        <v/>
      </c>
      <c r="H18" s="187">
        <f>'Año 5'!O15</f>
        <v/>
      </c>
      <c r="I18" s="187">
        <f>SUM(D18:H18)</f>
        <v/>
      </c>
    </row>
    <row r="19" ht="15" customHeight="1" s="44">
      <c r="B19" s="55" t="inlineStr">
        <is>
          <t>Total Costos anual</t>
        </is>
      </c>
      <c r="D19" s="187">
        <f>'Año 1 escenario 1'!O44</f>
        <v/>
      </c>
      <c r="E19" s="187">
        <f>'Año 2'!O24</f>
        <v/>
      </c>
      <c r="F19" s="187">
        <f>'Año 3'!O24</f>
        <v/>
      </c>
      <c r="G19" s="187">
        <f>'Año 4'!O24</f>
        <v/>
      </c>
      <c r="H19" s="187">
        <f>'Año 5'!O24</f>
        <v/>
      </c>
      <c r="I19" s="187">
        <f>SUM(D19:H19)</f>
        <v/>
      </c>
    </row>
    <row r="20" ht="15" customHeight="1" s="44">
      <c r="B20" s="12" t="inlineStr">
        <is>
          <t>FCF anual</t>
        </is>
      </c>
      <c r="C20" s="189" t="n"/>
      <c r="D20" s="189">
        <f>D18-D19</f>
        <v/>
      </c>
      <c r="E20" s="189">
        <f>E18-E19</f>
        <v/>
      </c>
      <c r="F20" s="189">
        <f>F18-F19</f>
        <v/>
      </c>
      <c r="G20" s="189">
        <f>G18-G19</f>
        <v/>
      </c>
      <c r="H20" s="189">
        <f>H18-H19</f>
        <v/>
      </c>
      <c r="I20" s="189">
        <f>SUM(D20:H20)</f>
        <v/>
      </c>
    </row>
    <row r="21">
      <c r="B21" s="55" t="inlineStr">
        <is>
          <t>FCF acumulado</t>
        </is>
      </c>
      <c r="D21" s="187">
        <f>D20</f>
        <v/>
      </c>
      <c r="E21" s="187">
        <f>D21+E20</f>
        <v/>
      </c>
      <c r="F21" s="187">
        <f>E21+F20</f>
        <v/>
      </c>
      <c r="G21" s="187">
        <f>F21+G20</f>
        <v/>
      </c>
      <c r="H21" s="187">
        <f>G21+H20</f>
        <v/>
      </c>
    </row>
    <row r="22">
      <c r="B22" s="55" t="inlineStr">
        <is>
          <t>CCF (inversor SAFE)</t>
        </is>
      </c>
      <c r="D22" s="187">
        <f>D20*$C$6</f>
        <v/>
      </c>
      <c r="E22" s="187">
        <f>E20*$C$6</f>
        <v/>
      </c>
      <c r="F22" s="187">
        <f>F20*$C$6</f>
        <v/>
      </c>
      <c r="G22" s="187">
        <f>G20*$C$6</f>
        <v/>
      </c>
      <c r="H22" s="187">
        <f>H20*$C$6</f>
        <v/>
      </c>
      <c r="K22" s="55" t="inlineStr">
        <is>
          <t>CCF acum Y5</t>
        </is>
      </c>
      <c r="L22" s="55" t="inlineStr">
        <is>
          <t>Por recuperar Y5</t>
        </is>
      </c>
    </row>
    <row r="23">
      <c r="B23" s="55" t="inlineStr">
        <is>
          <t>CCF acumulado (inversor)</t>
        </is>
      </c>
      <c r="D23" s="187">
        <f>D22</f>
        <v/>
      </c>
      <c r="E23" s="187">
        <f>D23+E22</f>
        <v/>
      </c>
      <c r="F23" s="187">
        <f>E23+F22</f>
        <v/>
      </c>
      <c r="G23" s="187">
        <f>F23+G22</f>
        <v/>
      </c>
      <c r="H23" s="187">
        <f>G23+H22</f>
        <v/>
      </c>
      <c r="K23" s="187">
        <f>H23</f>
        <v/>
      </c>
    </row>
    <row r="24">
      <c r="B24" s="55" t="inlineStr">
        <is>
          <t>Por recuperar inversor (SAFE)</t>
        </is>
      </c>
      <c r="D24" s="187">
        <f>MAX(0,-$C$9-D23)</f>
        <v/>
      </c>
      <c r="E24" s="187">
        <f>MAX(0,-$C$9-E23)</f>
        <v/>
      </c>
      <c r="F24" s="187">
        <f>MAX(0,-$C$9-F23)</f>
        <v/>
      </c>
      <c r="G24" s="187">
        <f>MAX(0,-$C$9-G23)</f>
        <v/>
      </c>
      <c r="H24" s="187">
        <f>MAX(0,-$C$9-H23)</f>
        <v/>
      </c>
      <c r="L24" s="187">
        <f>H24</f>
        <v/>
      </c>
    </row>
    <row r="25">
      <c r="B25" s="55" t="inlineStr">
        <is>
          <t>ECF (founders)</t>
        </is>
      </c>
      <c r="D25" s="187">
        <f>D20-D22</f>
        <v/>
      </c>
      <c r="E25" s="187">
        <f>E20-E22</f>
        <v/>
      </c>
      <c r="F25" s="187">
        <f>F20-F22</f>
        <v/>
      </c>
      <c r="G25" s="187">
        <f>G20-G22</f>
        <v/>
      </c>
      <c r="H25" s="187">
        <f>H20-H22</f>
        <v/>
      </c>
    </row>
    <row r="26"/>
    <row r="27">
      <c r="J27" s="55" t="inlineStr">
        <is>
          <t>Flujo IRR</t>
        </is>
      </c>
    </row>
    <row r="28">
      <c r="J28" s="187" t="n">
        <v>-237412</v>
      </c>
    </row>
    <row r="29">
      <c r="J29" s="187">
        <f>D20</f>
        <v/>
      </c>
    </row>
    <row r="30">
      <c r="J30" s="187">
        <f>E20</f>
        <v/>
      </c>
    </row>
    <row r="31">
      <c r="J31" s="187">
        <f>F20</f>
        <v/>
      </c>
    </row>
    <row r="32">
      <c r="J32" s="187">
        <f>G20</f>
        <v/>
      </c>
    </row>
    <row r="33">
      <c r="J33" s="187">
        <f>H20</f>
        <v/>
      </c>
    </row>
    <row r="34">
      <c r="B34" s="55" t="inlineStr">
        <is>
          <t>VP Flujos(5)</t>
        </is>
      </c>
      <c r="C34" s="187">
        <f>NPV($C$8,D20:H20)</f>
        <v/>
      </c>
    </row>
    <row r="35">
      <c r="B35" s="55" t="inlineStr">
        <is>
          <t>VAN(5)</t>
        </is>
      </c>
      <c r="C35" s="187">
        <f>C34+C9</f>
        <v/>
      </c>
    </row>
    <row r="36">
      <c r="B36" s="55" t="inlineStr">
        <is>
          <t>VP Flujos(3)</t>
        </is>
      </c>
      <c r="C36" s="187">
        <f>NPV($C$8,D20:F20)</f>
        <v/>
      </c>
    </row>
    <row r="37">
      <c r="B37" s="55" t="inlineStr">
        <is>
          <t>VAN(3)</t>
        </is>
      </c>
      <c r="C37" s="187">
        <f>C36+C9</f>
        <v/>
      </c>
    </row>
    <row r="38">
      <c r="B38" s="55" t="inlineStr">
        <is>
          <t>TIR(5)</t>
        </is>
      </c>
      <c r="C38" s="188">
        <f>IRR(J28:J33)</f>
        <v/>
      </c>
    </row>
    <row r="39">
      <c r="B39" s="55" t="inlineStr">
        <is>
          <t>TIR(3)</t>
        </is>
      </c>
      <c r="C39" s="188">
        <f>IRR(J28:J31)</f>
        <v/>
      </c>
    </row>
    <row r="40">
      <c r="B40" s="55" t="inlineStr">
        <is>
          <t>Tasa Requerida (r)</t>
        </is>
      </c>
      <c r="C40" s="188">
        <f>$C$8</f>
        <v/>
      </c>
    </row>
    <row r="41">
      <c r="B41" s="55" t="inlineStr">
        <is>
          <t>Payback inversor (años, ilustrativo)</t>
        </is>
      </c>
      <c r="C41" s="187">
        <f>IF(H23&gt;=ABS($C$9),5,IF(G23&gt;=ABS($C$9),4,IF(F23&gt;=ABS($C$9),3,IF(E23&gt;=ABS($C$9),2,IF(D23&gt;=ABS($C$9),1,"[LARGO PLAZO]")))))</f>
        <v/>
      </c>
    </row>
    <row r="42">
      <c r="B42" s="55" t="inlineStr">
        <is>
          <t>% SAFE recuperado (CCF acum Y5, ilustrativo)</t>
        </is>
      </c>
      <c r="C42" s="188">
        <f>H23/ABS($C$9)</f>
        <v/>
      </c>
    </row>
    <row r="43">
      <c r="B43" s="55" t="inlineStr">
        <is>
          <t>Lectura payback</t>
        </is>
      </c>
      <c r="C43" s="187">
        <f>IF(C41="[LARGO PLAZO]","CCF acum Y5 no cubre SAFE — ver % recuperado","")</f>
        <v/>
      </c>
    </row>
    <row r="44"/>
    <row r="45">
      <c r="B45" s="14" t="inlineStr">
        <is>
          <t>NOTA: Reparto CCF/ECF ilustrativo post-cap SAFE 18,66%. No cláusula de dividendos.</t>
        </is>
      </c>
    </row>
    <row r="46"/>
    <row r="47"/>
    <row r="48"/>
    <row r="49"/>
    <row r="50"/>
  </sheetData>
  <mergeCells count="1">
    <mergeCell ref="B2:I2"/>
  </mergeCells>
  <pageMargins left="0.75" right="0.75" top="1" bottom="1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11"/>
  <sheetViews>
    <sheetView zoomScale="95" zoomScaleNormal="95" workbookViewId="0">
      <selection activeCell="H21" sqref="H21"/>
    </sheetView>
  </sheetViews>
  <sheetFormatPr baseColWidth="10" defaultColWidth="8.6640625" defaultRowHeight="14.4"/>
  <cols>
    <col width="2.21875" customWidth="1" style="44" min="1" max="1"/>
    <col width="39.33203125" customWidth="1" style="44" min="2" max="2"/>
    <col width="20.77734375" customWidth="1" style="44" min="3" max="3"/>
    <col width="21.77734375" customWidth="1" style="44" min="4" max="4"/>
    <col width="25.21875" customWidth="1" style="44" min="5" max="5"/>
    <col width="26.109375" customWidth="1" style="44" min="6" max="6"/>
    <col width="23.5546875" customWidth="1" style="44" min="7" max="7"/>
    <col width="12.109375" customWidth="1" style="44" min="8" max="8"/>
    <col width="11.5546875" customWidth="1" style="44" min="9" max="9"/>
  </cols>
  <sheetData>
    <row r="2" ht="56.7" customHeight="1" s="44">
      <c r="B2" s="45" t="inlineStr">
        <is>
          <t>TASAS DE CRECIMIENTO — Zonix Pharma</t>
        </is>
      </c>
    </row>
    <row r="4">
      <c r="C4" s="1" t="inlineStr">
        <is>
          <t>Año 1</t>
        </is>
      </c>
      <c r="D4" s="1" t="inlineStr">
        <is>
          <t>Año 2</t>
        </is>
      </c>
      <c r="E4" s="1" t="inlineStr">
        <is>
          <t>Año 3</t>
        </is>
      </c>
      <c r="F4" s="1" t="inlineStr">
        <is>
          <t>Año 4</t>
        </is>
      </c>
      <c r="G4" s="1" t="inlineStr">
        <is>
          <t>Año 5</t>
        </is>
      </c>
    </row>
    <row r="6">
      <c r="B6" s="55" t="inlineStr">
        <is>
          <t>Revenue anual % vs año anterior</t>
        </is>
      </c>
      <c r="D6" s="188">
        <f>IF(C8=0,"",(D8-C8)/C8)</f>
        <v/>
      </c>
      <c r="E6" s="188">
        <f>IF(D8=0,"",(E8-D8)/D8)</f>
        <v/>
      </c>
      <c r="F6" s="188">
        <f>IF(E8=0,"",(F8-E8)/E8)</f>
        <v/>
      </c>
      <c r="G6" s="188">
        <f>IF(F8=0,"",(G8-F8)/F8)</f>
        <v/>
      </c>
    </row>
    <row r="7">
      <c r="B7" s="55" t="inlineStr">
        <is>
          <t>Farmacias activas cierre</t>
        </is>
      </c>
      <c r="C7" s="187">
        <f>'Año 1 escenario 1'!N19</f>
        <v/>
      </c>
      <c r="D7" s="187">
        <f>'Año 2'!N11</f>
        <v/>
      </c>
      <c r="E7" s="187">
        <f>'Año 3'!N11</f>
        <v/>
      </c>
      <c r="F7" s="187">
        <f>'Año 4'!N11</f>
        <v/>
      </c>
      <c r="G7" s="187">
        <f>'Año 5'!N11</f>
        <v/>
      </c>
    </row>
    <row r="8">
      <c r="B8" s="55" t="inlineStr">
        <is>
          <t>Revenue anual USD</t>
        </is>
      </c>
      <c r="C8" s="187">
        <f>'Año 1 escenario 1'!O25</f>
        <v/>
      </c>
      <c r="D8" s="187">
        <f>'Año 2'!O15</f>
        <v/>
      </c>
      <c r="E8" s="187">
        <f>'Año 3'!O15</f>
        <v/>
      </c>
      <c r="F8" s="187">
        <f>'Año 4'!O15</f>
        <v/>
      </c>
      <c r="G8" s="187">
        <f>'Año 5'!O15</f>
        <v/>
      </c>
    </row>
    <row r="9">
      <c r="B9" s="55" t="inlineStr">
        <is>
          <t>ARPF placeholder USD</t>
        </is>
      </c>
      <c r="C9" s="187" t="n">
        <v>50</v>
      </c>
      <c r="D9" s="187" t="n">
        <v>52</v>
      </c>
      <c r="E9" s="187" t="n">
        <v>55</v>
      </c>
      <c r="F9" s="187" t="n">
        <v>58</v>
      </c>
      <c r="G9" s="187" t="n">
        <v>60</v>
      </c>
    </row>
    <row r="10">
      <c r="B10" s="55" t="inlineStr">
        <is>
          <t>Burn prom. mensual USD</t>
        </is>
      </c>
      <c r="C10" s="187">
        <f>'Año 1 escenario 1'!O44/12</f>
        <v/>
      </c>
      <c r="D10" s="187">
        <f>'Año 2'!O24/12</f>
        <v/>
      </c>
      <c r="E10" s="187">
        <f>'Año 3'!O24/12</f>
        <v/>
      </c>
      <c r="F10" s="187">
        <f>'Año 4'!O24/12</f>
        <v/>
      </c>
      <c r="G10" s="187">
        <f>'Año 5'!O24/12</f>
        <v/>
      </c>
    </row>
    <row r="11">
      <c r="B11" s="55" t="inlineStr">
        <is>
          <t>Etiqueta</t>
        </is>
      </c>
      <c r="C11" s="55" t="inlineStr">
        <is>
          <t>ancla</t>
        </is>
      </c>
      <c r="D11" s="55" t="inlineStr">
        <is>
          <t>PROY §2</t>
        </is>
      </c>
      <c r="E11" s="55" t="inlineStr">
        <is>
          <t>PROY §3</t>
        </is>
      </c>
      <c r="F11" s="55" t="inlineStr">
        <is>
          <t>SUPUESTO</t>
        </is>
      </c>
      <c r="G11" s="55" t="inlineStr">
        <is>
          <t>SUPUESTO</t>
        </is>
      </c>
    </row>
  </sheetData>
  <mergeCells count="1">
    <mergeCell ref="B2:G2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2026-06-23T07:03:00Z</dcterms:created>
  <dcterms:modified xmlns:dcterms="http://purl.org/dc/terms/" xmlns:xsi="http://www.w3.org/2001/XMLSchema-instance" xsi:type="dcterms:W3CDTF">2026-08-07T17:38:01Z</dcterms:modified>
  <cp:lastModifiedBy>Gabriel Barrios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/>
  </property>
  <property name="KSOProductBuildVer" fmtid="{D5CDD505-2E9C-101B-9397-08002B2CF9AE}" pid="3">
    <vt:lpwstr xmlns:vt="http://schemas.openxmlformats.org/officeDocument/2006/docPropsVTypes">1033-11.1.0.11723</vt:lpwstr>
  </property>
</Properties>
</file>